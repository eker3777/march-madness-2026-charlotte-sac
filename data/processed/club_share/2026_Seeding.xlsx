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X:\My Files\Python\Sports Analytics Projects\NCAA Basketball\March Madness GAM\data\processed\club_share\"/>
    </mc:Choice>
  </mc:AlternateContent>
  <xr:revisionPtr revIDLastSave="0" documentId="13_ncr:1_{9E07524A-E0F8-46EA-A9BD-98DACDED010C}" xr6:coauthVersionLast="47" xr6:coauthVersionMax="47" xr10:uidLastSave="{00000000-0000-0000-0000-000000000000}"/>
  <bookViews>
    <workbookView xWindow="-96" yWindow="0" windowWidth="27708" windowHeight="16656" firstSheet="1" activeTab="4" xr2:uid="{0F2E44DD-6B2E-4D28-9C6B-768220E36169}"/>
  </bookViews>
  <sheets>
    <sheet name="MTeams" sheetId="3" r:id="rId1"/>
    <sheet name="Mens Seeding" sheetId="2" r:id="rId2"/>
    <sheet name="MNCAATourneySeeds" sheetId="1" r:id="rId3"/>
    <sheet name="MNCAATourneySlots" sheetId="4" r:id="rId4"/>
    <sheet name="Womens Seeding" sheetId="5" r:id="rId5"/>
    <sheet name="WTeams" sheetId="9" r:id="rId6"/>
    <sheet name="WNCAATourneySeeds" sheetId="6" r:id="rId7"/>
    <sheet name="WNCAATourneySlot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C37" i="6" a="1"/>
  <c r="C37" i="6" s="1"/>
  <c r="C48" i="6" a="1"/>
  <c r="C48" i="6" s="1"/>
  <c r="C51" i="6" a="1"/>
  <c r="C51" i="6" s="1"/>
  <c r="C55" i="6" a="1"/>
  <c r="C55" i="6" s="1"/>
  <c r="C61" i="6" a="1"/>
  <c r="C61" i="6" s="1"/>
  <c r="C63" i="6" a="1"/>
  <c r="C63" i="6" s="1"/>
  <c r="E2" i="5"/>
  <c r="G2" i="5" s="1"/>
  <c r="E3" i="5"/>
  <c r="G3" i="5" s="1"/>
  <c r="E4" i="5"/>
  <c r="G4" i="5" s="1"/>
  <c r="E5" i="5"/>
  <c r="G5" i="5" s="1"/>
  <c r="E6" i="5"/>
  <c r="C6" i="6" s="1" a="1"/>
  <c r="C6" i="6" s="1"/>
  <c r="E7" i="5"/>
  <c r="C13" i="6" s="1" a="1"/>
  <c r="C13" i="6" s="1"/>
  <c r="E8" i="5"/>
  <c r="C5" i="6" s="1" a="1"/>
  <c r="C5" i="6" s="1"/>
  <c r="E9" i="5"/>
  <c r="C14" i="6" s="1" a="1"/>
  <c r="C14" i="6" s="1"/>
  <c r="E10" i="5"/>
  <c r="C7" i="6" s="1" a="1"/>
  <c r="C7" i="6" s="1"/>
  <c r="E11" i="5"/>
  <c r="G11" i="5" s="1"/>
  <c r="E12" i="5"/>
  <c r="G12" i="5" s="1"/>
  <c r="E13" i="5"/>
  <c r="C15" i="6" s="1" a="1"/>
  <c r="C15" i="6" s="1"/>
  <c r="E14" i="5"/>
  <c r="G14" i="5" s="1"/>
  <c r="E15" i="5"/>
  <c r="G15" i="5" s="1"/>
  <c r="E16" i="5"/>
  <c r="G16" i="5" s="1"/>
  <c r="E17" i="5"/>
  <c r="G17" i="5" s="1"/>
  <c r="E18" i="5"/>
  <c r="C18" i="6" s="1" a="1"/>
  <c r="C18" i="6" s="1"/>
  <c r="E19" i="5"/>
  <c r="C33" i="6" s="1" a="1"/>
  <c r="C33" i="6" s="1"/>
  <c r="E20" i="5"/>
  <c r="C25" i="6" s="1" a="1"/>
  <c r="C25" i="6" s="1"/>
  <c r="E21" i="5"/>
  <c r="G21" i="5" s="1"/>
  <c r="E22" i="5"/>
  <c r="C22" i="6" s="1" a="1"/>
  <c r="C22" i="6" s="1"/>
  <c r="E23" i="5"/>
  <c r="C29" i="6" s="1" a="1"/>
  <c r="C29" i="6" s="1"/>
  <c r="E24" i="5"/>
  <c r="C21" i="6" s="1" a="1"/>
  <c r="C21" i="6" s="1"/>
  <c r="E25" i="5"/>
  <c r="C30" i="6" s="1" a="1"/>
  <c r="C30" i="6" s="1"/>
  <c r="E26" i="5"/>
  <c r="G26" i="5" s="1"/>
  <c r="E27" i="5"/>
  <c r="G27" i="5" s="1"/>
  <c r="E28" i="5"/>
  <c r="G28" i="5" s="1"/>
  <c r="E29" i="5"/>
  <c r="G29" i="5" s="1"/>
  <c r="E30" i="5"/>
  <c r="C24" i="6" s="1" a="1"/>
  <c r="C24" i="6" s="1"/>
  <c r="E31" i="5"/>
  <c r="C27" i="6" s="1" a="1"/>
  <c r="C27" i="6" s="1"/>
  <c r="E32" i="5"/>
  <c r="G32" i="5" s="1"/>
  <c r="E33" i="5"/>
  <c r="C32" i="6" s="1" a="1"/>
  <c r="C32" i="6" s="1"/>
  <c r="E34" i="5"/>
  <c r="G34" i="5" s="1"/>
  <c r="E35" i="5"/>
  <c r="C49" i="6" s="1" a="1"/>
  <c r="C49" i="6" s="1"/>
  <c r="E36" i="5"/>
  <c r="G36" i="5" s="1"/>
  <c r="E37" i="5"/>
  <c r="G37" i="5" s="1"/>
  <c r="E38" i="5"/>
  <c r="C38" i="6" s="1" a="1"/>
  <c r="C38" i="6" s="1"/>
  <c r="E39" i="5"/>
  <c r="G39" i="5" s="1"/>
  <c r="E40" i="5"/>
  <c r="G40" i="5" s="1"/>
  <c r="E41" i="5"/>
  <c r="G41" i="5" s="1"/>
  <c r="E42" i="5"/>
  <c r="C39" i="6" s="1" a="1"/>
  <c r="C39" i="6" s="1"/>
  <c r="E43" i="5"/>
  <c r="G43" i="5" s="1"/>
  <c r="E44" i="5"/>
  <c r="G44" i="5" s="1"/>
  <c r="E45" i="5"/>
  <c r="C47" i="6" s="1" a="1"/>
  <c r="C47" i="6" s="1"/>
  <c r="E46" i="5"/>
  <c r="C40" i="6" s="1" a="1"/>
  <c r="C40" i="6" s="1"/>
  <c r="E47" i="5"/>
  <c r="G47" i="5" s="1"/>
  <c r="E48" i="5"/>
  <c r="G48" i="5" s="1"/>
  <c r="E49" i="5"/>
  <c r="G49" i="5" s="1"/>
  <c r="E50" i="5"/>
  <c r="G50" i="5" s="1"/>
  <c r="E51" i="5"/>
  <c r="G51" i="5" s="1"/>
  <c r="E52" i="5"/>
  <c r="G52" i="5" s="1"/>
  <c r="E53" i="5"/>
  <c r="G53" i="5" s="1"/>
  <c r="E54" i="5"/>
  <c r="C54" i="6" s="1" a="1"/>
  <c r="C54" i="6" s="1"/>
  <c r="E55" i="5"/>
  <c r="G55" i="5" s="1"/>
  <c r="E56" i="5"/>
  <c r="C53" i="6" s="1" a="1"/>
  <c r="C53" i="6" s="1"/>
  <c r="E57" i="5"/>
  <c r="C62" i="6" s="1" a="1"/>
  <c r="C62" i="6" s="1"/>
  <c r="E58" i="5"/>
  <c r="G58" i="5" s="1"/>
  <c r="E59" i="5"/>
  <c r="C60" i="6" s="1" a="1"/>
  <c r="C60" i="6" s="1"/>
  <c r="E60" i="5"/>
  <c r="G60" i="5" s="1"/>
  <c r="E61" i="5"/>
  <c r="G61" i="5" s="1"/>
  <c r="E62" i="5"/>
  <c r="C56" i="6" s="1" a="1"/>
  <c r="C56" i="6" s="1"/>
  <c r="E63" i="5"/>
  <c r="G63" i="5" s="1"/>
  <c r="E64" i="5"/>
  <c r="G64" i="5" s="1"/>
  <c r="E65" i="5"/>
  <c r="G65" i="5" s="1"/>
  <c r="E2" i="2"/>
  <c r="E16" i="2"/>
  <c r="E12" i="2"/>
  <c r="E8" i="2"/>
  <c r="E6" i="2"/>
  <c r="E10" i="2"/>
  <c r="C7" i="1" s="1" a="1"/>
  <c r="C7" i="1" s="1"/>
  <c r="E14" i="2"/>
  <c r="C8" i="1" s="1" a="1"/>
  <c r="C8" i="1" s="1"/>
  <c r="E4" i="2"/>
  <c r="C9" i="1" s="1" a="1"/>
  <c r="C9" i="1" s="1"/>
  <c r="E5" i="2"/>
  <c r="C10" i="1" s="1" a="1"/>
  <c r="C10" i="1" s="1"/>
  <c r="E15" i="2"/>
  <c r="C11" i="1" s="1" a="1"/>
  <c r="C11" i="1" s="1"/>
  <c r="E11" i="2"/>
  <c r="E7" i="2"/>
  <c r="E9" i="2"/>
  <c r="E13" i="2"/>
  <c r="E17" i="2"/>
  <c r="E3" i="2"/>
  <c r="E18" i="2"/>
  <c r="C34" i="1" s="1" a="1"/>
  <c r="C34" i="1" s="1"/>
  <c r="E32" i="2"/>
  <c r="C35" i="1" s="1" a="1"/>
  <c r="C35" i="1" s="1"/>
  <c r="E28" i="2"/>
  <c r="E24" i="2"/>
  <c r="E22" i="2"/>
  <c r="E26" i="2"/>
  <c r="E30" i="2"/>
  <c r="E20" i="2"/>
  <c r="E21" i="2"/>
  <c r="E31" i="2"/>
  <c r="C43" i="1" s="1" a="1"/>
  <c r="C43" i="1" s="1"/>
  <c r="E27" i="2"/>
  <c r="C44" i="1" s="1" a="1"/>
  <c r="C44" i="1" s="1"/>
  <c r="E23" i="2"/>
  <c r="C45" i="1" s="1" a="1"/>
  <c r="C45" i="1" s="1"/>
  <c r="E25" i="2"/>
  <c r="C46" i="1" s="1" a="1"/>
  <c r="C46" i="1" s="1"/>
  <c r="E29" i="2"/>
  <c r="C47" i="1" s="1" a="1"/>
  <c r="C47" i="1" s="1"/>
  <c r="E33" i="2"/>
  <c r="E19" i="2"/>
  <c r="E34" i="2"/>
  <c r="C18" i="1" s="1" a="1"/>
  <c r="C18" i="1" s="1"/>
  <c r="E48" i="2"/>
  <c r="C19" i="1" s="1" a="1"/>
  <c r="C19" i="1" s="1"/>
  <c r="E44" i="2"/>
  <c r="C20" i="1" s="1" a="1"/>
  <c r="C20" i="1" s="1"/>
  <c r="E40" i="2"/>
  <c r="C21" i="1" s="1" a="1"/>
  <c r="C21" i="1" s="1"/>
  <c r="E38" i="2"/>
  <c r="C22" i="1" s="1" a="1"/>
  <c r="C22" i="1" s="1"/>
  <c r="E42" i="2"/>
  <c r="C23" i="1" s="1" a="1"/>
  <c r="C23" i="1" s="1"/>
  <c r="E46" i="2"/>
  <c r="E36" i="2"/>
  <c r="E37" i="2"/>
  <c r="E47" i="2"/>
  <c r="E43" i="2"/>
  <c r="E39" i="2"/>
  <c r="E41" i="2"/>
  <c r="E45" i="2"/>
  <c r="C31" i="1" s="1" a="1"/>
  <c r="C31" i="1" s="1"/>
  <c r="E49" i="2"/>
  <c r="C32" i="1" s="1" a="1"/>
  <c r="C32" i="1" s="1"/>
  <c r="E35" i="2"/>
  <c r="C33" i="1" s="1" a="1"/>
  <c r="C33" i="1" s="1"/>
  <c r="E50" i="2"/>
  <c r="E64" i="2"/>
  <c r="E60" i="2"/>
  <c r="E56" i="2"/>
  <c r="E54" i="2"/>
  <c r="E58" i="2"/>
  <c r="C55" i="1" s="1" a="1"/>
  <c r="C55" i="1" s="1"/>
  <c r="E62" i="2"/>
  <c r="C56" i="1" s="1" a="1"/>
  <c r="C56" i="1" s="1"/>
  <c r="E52" i="2"/>
  <c r="C57" i="1" s="1" a="1"/>
  <c r="C57" i="1" s="1"/>
  <c r="E53" i="2"/>
  <c r="C58" i="1" s="1" a="1"/>
  <c r="C58" i="1" s="1"/>
  <c r="E63" i="2"/>
  <c r="C59" i="1" s="1" a="1"/>
  <c r="C59" i="1" s="1"/>
  <c r="E59" i="2"/>
  <c r="E55" i="2"/>
  <c r="E57" i="2"/>
  <c r="E61" i="2"/>
  <c r="C63" i="1" s="1" a="1"/>
  <c r="C63" i="1" s="1"/>
  <c r="E65" i="2"/>
  <c r="C64" i="1" s="1" a="1"/>
  <c r="C64" i="1" s="1"/>
  <c r="E51" i="2"/>
  <c r="C45" i="6" l="1" a="1"/>
  <c r="C45" i="6" s="1"/>
  <c r="C36" i="6" a="1"/>
  <c r="C36" i="6" s="1"/>
  <c r="C28" i="6" a="1"/>
  <c r="C28" i="6" s="1"/>
  <c r="C20" i="6" a="1"/>
  <c r="C20" i="6" s="1"/>
  <c r="C12" i="6" a="1"/>
  <c r="C12" i="6" s="1"/>
  <c r="C4" i="6" a="1"/>
  <c r="C4" i="6" s="1"/>
  <c r="G6" i="5"/>
  <c r="G18" i="5"/>
  <c r="G30" i="5"/>
  <c r="G42" i="5"/>
  <c r="G54" i="5"/>
  <c r="C65" i="6" a="1"/>
  <c r="C65" i="6" s="1"/>
  <c r="C44" i="6" a="1"/>
  <c r="C44" i="6" s="1"/>
  <c r="G7" i="5"/>
  <c r="G19" i="5"/>
  <c r="G31" i="5"/>
  <c r="C64" i="6" a="1"/>
  <c r="C64" i="6" s="1"/>
  <c r="C35" i="6" a="1"/>
  <c r="C35" i="6" s="1"/>
  <c r="C19" i="6" a="1"/>
  <c r="C19" i="6" s="1"/>
  <c r="C11" i="6" a="1"/>
  <c r="C11" i="6" s="1"/>
  <c r="C3" i="6" a="1"/>
  <c r="C3" i="6" s="1"/>
  <c r="G8" i="5"/>
  <c r="G20" i="5"/>
  <c r="G56" i="5"/>
  <c r="C43" i="6" a="1"/>
  <c r="C43" i="6" s="1"/>
  <c r="C34" i="6" a="1"/>
  <c r="C34" i="6" s="1"/>
  <c r="C26" i="6" a="1"/>
  <c r="C26" i="6" s="1"/>
  <c r="C10" i="6" a="1"/>
  <c r="C10" i="6" s="1"/>
  <c r="C2" i="6" a="1"/>
  <c r="C2" i="6" s="1"/>
  <c r="G9" i="5"/>
  <c r="G33" i="5"/>
  <c r="G45" i="5"/>
  <c r="G57" i="5"/>
  <c r="C52" i="6" a="1"/>
  <c r="C52" i="6" s="1"/>
  <c r="C42" i="6" a="1"/>
  <c r="C42" i="6" s="1"/>
  <c r="G10" i="5"/>
  <c r="G22" i="5"/>
  <c r="G46" i="5"/>
  <c r="C17" i="6" a="1"/>
  <c r="C17" i="6" s="1"/>
  <c r="C9" i="6" a="1"/>
  <c r="C9" i="6" s="1"/>
  <c r="G23" i="5"/>
  <c r="G35" i="5"/>
  <c r="G59" i="5"/>
  <c r="C41" i="6" a="1"/>
  <c r="C41" i="6" s="1"/>
  <c r="C16" i="6" a="1"/>
  <c r="C16" i="6" s="1"/>
  <c r="C8" i="6" a="1"/>
  <c r="C8" i="6" s="1"/>
  <c r="G24" i="5"/>
  <c r="C50" i="6" a="1"/>
  <c r="C50" i="6" s="1"/>
  <c r="G13" i="5"/>
  <c r="G25" i="5"/>
  <c r="C59" i="6" a="1"/>
  <c r="C59" i="6" s="1"/>
  <c r="C31" i="6" a="1"/>
  <c r="C31" i="6" s="1"/>
  <c r="C23" i="6" a="1"/>
  <c r="C23" i="6" s="1"/>
  <c r="G38" i="5"/>
  <c r="G62" i="5"/>
  <c r="C58" i="6" a="1"/>
  <c r="C58" i="6" s="1"/>
  <c r="C57" i="6" a="1"/>
  <c r="C57" i="6" s="1"/>
  <c r="C46" i="6" a="1"/>
  <c r="C46" i="6" s="1"/>
  <c r="C54" i="1" a="1"/>
  <c r="C54" i="1" s="1"/>
  <c r="C2" i="1" a="1"/>
  <c r="C2" i="1" s="1"/>
  <c r="C52" i="1" a="1"/>
  <c r="C52" i="1" s="1"/>
  <c r="C42" i="1" a="1"/>
  <c r="C42" i="1" s="1"/>
  <c r="C40" i="1" a="1"/>
  <c r="C40" i="1" s="1"/>
  <c r="C30" i="1" a="1"/>
  <c r="C30" i="1" s="1"/>
  <c r="C28" i="1" a="1"/>
  <c r="C28" i="1" s="1"/>
  <c r="C16" i="1" a="1"/>
  <c r="C16" i="1" s="1"/>
  <c r="C4" i="1" a="1"/>
  <c r="C4" i="1" s="1"/>
  <c r="C53" i="1" a="1"/>
  <c r="C53" i="1" s="1"/>
  <c r="C41" i="1" a="1"/>
  <c r="C41" i="1" s="1"/>
  <c r="C29" i="1" a="1"/>
  <c r="C29" i="1" s="1"/>
  <c r="C17" i="1" a="1"/>
  <c r="C17" i="1" s="1"/>
  <c r="C5" i="1" a="1"/>
  <c r="C5" i="1" s="1"/>
  <c r="C65" i="1" a="1"/>
  <c r="C65" i="1" s="1"/>
  <c r="C51" i="1" a="1"/>
  <c r="C51" i="1" s="1"/>
  <c r="C39" i="1" a="1"/>
  <c r="C39" i="1" s="1"/>
  <c r="C27" i="1" a="1"/>
  <c r="C27" i="1" s="1"/>
  <c r="C15" i="1" a="1"/>
  <c r="C15" i="1" s="1"/>
  <c r="C3" i="1" a="1"/>
  <c r="C3" i="1" s="1"/>
  <c r="C62" i="1" a="1"/>
  <c r="C62" i="1" s="1"/>
  <c r="C50" i="1" a="1"/>
  <c r="C50" i="1" s="1"/>
  <c r="C38" i="1" a="1"/>
  <c r="C38" i="1" s="1"/>
  <c r="C26" i="1" a="1"/>
  <c r="C26" i="1" s="1"/>
  <c r="C14" i="1" a="1"/>
  <c r="C14" i="1" s="1"/>
  <c r="C61" i="1" a="1"/>
  <c r="C61" i="1" s="1"/>
  <c r="C49" i="1" a="1"/>
  <c r="C49" i="1" s="1"/>
  <c r="C37" i="1" a="1"/>
  <c r="C37" i="1" s="1"/>
  <c r="C25" i="1" a="1"/>
  <c r="C25" i="1" s="1"/>
  <c r="C13" i="1" a="1"/>
  <c r="C13" i="1" s="1"/>
  <c r="C6" i="1" a="1"/>
  <c r="C6" i="1" s="1"/>
  <c r="C60" i="1" a="1"/>
  <c r="C60" i="1" s="1"/>
  <c r="C48" i="1" a="1"/>
  <c r="C48" i="1" s="1"/>
  <c r="C36" i="1" a="1"/>
  <c r="C36" i="1" s="1"/>
  <c r="C24" i="1" a="1"/>
  <c r="C24" i="1" s="1"/>
  <c r="C12" i="1" a="1"/>
  <c r="C1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<sst xmlns="http://schemas.openxmlformats.org/spreadsheetml/2006/main" count="1378" uniqueCount="498">
  <si>
    <t>Season</t>
  </si>
  <si>
    <t>Seed</t>
  </si>
  <si>
    <t>TeamID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</si>
  <si>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</si>
  <si>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</si>
  <si>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</si>
  <si>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</si>
  <si>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</si>
  <si>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</si>
  <si>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</si>
  <si>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</si>
  <si>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</si>
  <si>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</si>
  <si>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</si>
  <si>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</si>
  <si>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</si>
  <si>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</si>
  <si>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</si>
  <si>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</si>
  <si>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</si>
  <si>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</si>
  <si>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</si>
  <si>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</si>
  <si>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</si>
  <si>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</si>
  <si>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</si>
  <si>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</si>
  <si>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</si>
  <si>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</si>
  <si>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</si>
  <si>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</si>
  <si>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X13</t>
  </si>
  <si>
    <t>X14</t>
  </si>
  <si>
    <t>X15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</si>
  <si>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</si>
  <si>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</si>
  <si>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</si>
  <si>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</si>
  <si>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</si>
  <si>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</si>
  <si>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</si>
  <si>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</si>
  <si>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</si>
  <si>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</si>
  <si>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Y12</t>
  </si>
  <si>
    <t>Y13</t>
  </si>
  <si>
    <t>Y14</t>
  </si>
  <si>
    <t>Y15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</si>
  <si>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</si>
  <si>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</si>
  <si>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</si>
  <si>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</si>
  <si>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</si>
  <si>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</si>
  <si>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</si>
  <si>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</si>
  <si>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</si>
  <si>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</si>
  <si>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Z12</t>
  </si>
  <si>
    <t>Z13</t>
  </si>
  <si>
    <t>Z14</t>
  </si>
  <si>
    <t>Z15</t>
  </si>
  <si>
    <t>Z16</t>
  </si>
  <si>
    <t>Arizona</t>
  </si>
  <si>
    <t>Clemson</t>
  </si>
  <si>
    <t>Missouri</t>
  </si>
  <si>
    <t>Belmont</t>
  </si>
  <si>
    <t>Alabama</t>
  </si>
  <si>
    <t>High Point</t>
  </si>
  <si>
    <t>Kentucky</t>
  </si>
  <si>
    <t>Kansas</t>
  </si>
  <si>
    <t>Navy</t>
  </si>
  <si>
    <t>SMU</t>
  </si>
  <si>
    <t>Illinois</t>
  </si>
  <si>
    <t>Georgia</t>
  </si>
  <si>
    <t>Arkansas</t>
  </si>
  <si>
    <t>Texas Tech</t>
  </si>
  <si>
    <t>BYU</t>
  </si>
  <si>
    <t>Texas A&amp;M</t>
  </si>
  <si>
    <t>Purdue</t>
  </si>
  <si>
    <t>Troy</t>
  </si>
  <si>
    <t>UCLA</t>
  </si>
  <si>
    <t>Florida</t>
  </si>
  <si>
    <t>Merrimack</t>
  </si>
  <si>
    <t>Michigan</t>
  </si>
  <si>
    <t>UCF</t>
  </si>
  <si>
    <t>NC State</t>
  </si>
  <si>
    <t>Vanderbilt</t>
  </si>
  <si>
    <t>Liberty</t>
  </si>
  <si>
    <t>Virginia</t>
  </si>
  <si>
    <t>Cal Baptist</t>
  </si>
  <si>
    <t>North Carolina</t>
  </si>
  <si>
    <t>Nebraska</t>
  </si>
  <si>
    <t>UC Irvine</t>
  </si>
  <si>
    <t>Wisconsin</t>
  </si>
  <si>
    <t>Texas</t>
  </si>
  <si>
    <t>Houston</t>
  </si>
  <si>
    <t>Duke</t>
  </si>
  <si>
    <t>Iowa</t>
  </si>
  <si>
    <t>Tennessee</t>
  </si>
  <si>
    <t>Yale</t>
  </si>
  <si>
    <t>Gonzaga</t>
  </si>
  <si>
    <t>UNC Wilmington</t>
  </si>
  <si>
    <t>Louisville</t>
  </si>
  <si>
    <t>Villanova</t>
  </si>
  <si>
    <t>TCU</t>
  </si>
  <si>
    <t>Region</t>
  </si>
  <si>
    <t>West</t>
  </si>
  <si>
    <t>South</t>
  </si>
  <si>
    <t>Midwest</t>
  </si>
  <si>
    <t>East</t>
  </si>
  <si>
    <t>TeamName</t>
  </si>
  <si>
    <t>FirstD1Season</t>
  </si>
  <si>
    <t>LastD1Season</t>
  </si>
  <si>
    <t>Abilene Chr</t>
  </si>
  <si>
    <t>Air Force</t>
  </si>
  <si>
    <t>Akron</t>
  </si>
  <si>
    <t>Alabama A&amp;M</t>
  </si>
  <si>
    <t>Alabama St</t>
  </si>
  <si>
    <t>SUNY Albany</t>
  </si>
  <si>
    <t>Alcorn St</t>
  </si>
  <si>
    <t>Alliant Intl</t>
  </si>
  <si>
    <t>American Univ</t>
  </si>
  <si>
    <t>Appalachian St</t>
  </si>
  <si>
    <t>Arizona St</t>
  </si>
  <si>
    <t>Ark Little Rock</t>
  </si>
  <si>
    <t>Ark Pine Bluff</t>
  </si>
  <si>
    <t>Arkansas St</t>
  </si>
  <si>
    <t>Armstrong St</t>
  </si>
  <si>
    <t>Army</t>
  </si>
  <si>
    <t>Auburn</t>
  </si>
  <si>
    <t>Augusta</t>
  </si>
  <si>
    <t>Austin Peay</t>
  </si>
  <si>
    <t>Ball St</t>
  </si>
  <si>
    <t>Baylor</t>
  </si>
  <si>
    <t>Bethune-Cookman</t>
  </si>
  <si>
    <t>Binghamton</t>
  </si>
  <si>
    <t>Birmingham So</t>
  </si>
  <si>
    <t>Boise St</t>
  </si>
  <si>
    <t>Boston College</t>
  </si>
  <si>
    <t>Boston Univ</t>
  </si>
  <si>
    <t>Bowling Green</t>
  </si>
  <si>
    <t>Bradley</t>
  </si>
  <si>
    <t>Brooklyn</t>
  </si>
  <si>
    <t>Brown</t>
  </si>
  <si>
    <t>Bryant</t>
  </si>
  <si>
    <t>Bucknell</t>
  </si>
  <si>
    <t>Buffalo</t>
  </si>
  <si>
    <t>Butler</t>
  </si>
  <si>
    <t>C Michigan</t>
  </si>
  <si>
    <t>Cal Poly</t>
  </si>
  <si>
    <t>California</t>
  </si>
  <si>
    <t>Campbell</t>
  </si>
  <si>
    <t>Canisius</t>
  </si>
  <si>
    <t>Cent Arkansas</t>
  </si>
  <si>
    <t>Centenary</t>
  </si>
  <si>
    <t>Central Conn</t>
  </si>
  <si>
    <t>Charleston So</t>
  </si>
  <si>
    <t>Charlotte</t>
  </si>
  <si>
    <t>Chattanooga</t>
  </si>
  <si>
    <t>Chicago St</t>
  </si>
  <si>
    <t>Cincinnati</t>
  </si>
  <si>
    <t>Citadel</t>
  </si>
  <si>
    <t>Cleveland St</t>
  </si>
  <si>
    <t>Coastal Car</t>
  </si>
  <si>
    <t>Col Charleston</t>
  </si>
  <si>
    <t>Colgate</t>
  </si>
  <si>
    <t>Colorado</t>
  </si>
  <si>
    <t>Colorado St</t>
  </si>
  <si>
    <t>Columbia</t>
  </si>
  <si>
    <t>Connecticut</t>
  </si>
  <si>
    <t>Coppin St</t>
  </si>
  <si>
    <t>Cornell</t>
  </si>
  <si>
    <t>Creighton</t>
  </si>
  <si>
    <t>CS Bakersfield</t>
  </si>
  <si>
    <t>CS Fullerton</t>
  </si>
  <si>
    <t>CS Northridge</t>
  </si>
  <si>
    <t>CS Sacramento</t>
  </si>
  <si>
    <t>Dartmouth</t>
  </si>
  <si>
    <t>Davidson</t>
  </si>
  <si>
    <t>Dayton</t>
  </si>
  <si>
    <t>Delaware</t>
  </si>
  <si>
    <t>Delaware St</t>
  </si>
  <si>
    <t>Denver</t>
  </si>
  <si>
    <t>DePaul</t>
  </si>
  <si>
    <t>Detroit</t>
  </si>
  <si>
    <t>Drake</t>
  </si>
  <si>
    <t>Drexel</t>
  </si>
  <si>
    <t>Duquesne</t>
  </si>
  <si>
    <t>E Illinois</t>
  </si>
  <si>
    <t>E Kentucky</t>
  </si>
  <si>
    <t>E Michigan</t>
  </si>
  <si>
    <t>E Washington</t>
  </si>
  <si>
    <t>East Carolina</t>
  </si>
  <si>
    <t>SIUE</t>
  </si>
  <si>
    <t>Elon</t>
  </si>
  <si>
    <t>ETSU</t>
  </si>
  <si>
    <t>Evansville</t>
  </si>
  <si>
    <t>F Dickinson</t>
  </si>
  <si>
    <t>Fairfield</t>
  </si>
  <si>
    <t>FL Atlantic</t>
  </si>
  <si>
    <t>FGCU</t>
  </si>
  <si>
    <t>Florida A&amp;M</t>
  </si>
  <si>
    <t>Florida Intl</t>
  </si>
  <si>
    <t>Florida St</t>
  </si>
  <si>
    <t>Fordham</t>
  </si>
  <si>
    <t>Fresno St</t>
  </si>
  <si>
    <t>Furman</t>
  </si>
  <si>
    <t>G Washington</t>
  </si>
  <si>
    <t>Ga Southern</t>
  </si>
  <si>
    <t>Gardner Webb</t>
  </si>
  <si>
    <t>George Mason</t>
  </si>
  <si>
    <t>Georgetown</t>
  </si>
  <si>
    <t>Georgia St</t>
  </si>
  <si>
    <t>Georgia Tech</t>
  </si>
  <si>
    <t>Grambling</t>
  </si>
  <si>
    <t>Grand Canyon</t>
  </si>
  <si>
    <t>Hampton</t>
  </si>
  <si>
    <t>Hardin-Simmons</t>
  </si>
  <si>
    <t>Hartford</t>
  </si>
  <si>
    <t>Harvard</t>
  </si>
  <si>
    <t>Hawaii</t>
  </si>
  <si>
    <t>Hofstra</t>
  </si>
  <si>
    <t>Holy Cross</t>
  </si>
  <si>
    <t>Houston Chr</t>
  </si>
  <si>
    <t>Howard</t>
  </si>
  <si>
    <t>Idaho</t>
  </si>
  <si>
    <t>Idaho St</t>
  </si>
  <si>
    <t>IL Chicago</t>
  </si>
  <si>
    <t>Illinois St</t>
  </si>
  <si>
    <t>Incarnate Word</t>
  </si>
  <si>
    <t>Indiana</t>
  </si>
  <si>
    <t>Indiana St</t>
  </si>
  <si>
    <t>Iona</t>
  </si>
  <si>
    <t>Iowa St</t>
  </si>
  <si>
    <t>PFW</t>
  </si>
  <si>
    <t>IUPUI</t>
  </si>
  <si>
    <t>Jackson St</t>
  </si>
  <si>
    <t>Jacksonville</t>
  </si>
  <si>
    <t>Jacksonville St</t>
  </si>
  <si>
    <t>James Madison</t>
  </si>
  <si>
    <t>Kansas St</t>
  </si>
  <si>
    <t>Kennesaw</t>
  </si>
  <si>
    <t>Kent</t>
  </si>
  <si>
    <t>La Salle</t>
  </si>
  <si>
    <t>Lafayette</t>
  </si>
  <si>
    <t>Lamar</t>
  </si>
  <si>
    <t>Lehigh</t>
  </si>
  <si>
    <t>Lipscomb</t>
  </si>
  <si>
    <t>Long Beach St</t>
  </si>
  <si>
    <t>LIU Brooklyn</t>
  </si>
  <si>
    <t>Longwood</t>
  </si>
  <si>
    <t>Louisiana Tech</t>
  </si>
  <si>
    <t>Loy Marymount</t>
  </si>
  <si>
    <t>Loyola MD</t>
  </si>
  <si>
    <t>Loyola-Chicago</t>
  </si>
  <si>
    <t>LSU</t>
  </si>
  <si>
    <t>MA Lowell</t>
  </si>
  <si>
    <t>Maine</t>
  </si>
  <si>
    <t>Manhattan</t>
  </si>
  <si>
    <t>Marist</t>
  </si>
  <si>
    <t>Marquette</t>
  </si>
  <si>
    <t>Marshall</t>
  </si>
  <si>
    <t>Maryland</t>
  </si>
  <si>
    <t>Massachusetts</t>
  </si>
  <si>
    <t>McNeese St</t>
  </si>
  <si>
    <t>MD E Shore</t>
  </si>
  <si>
    <t>Memphis</t>
  </si>
  <si>
    <t>Mercer</t>
  </si>
  <si>
    <t>Miami FL</t>
  </si>
  <si>
    <t>Miami OH</t>
  </si>
  <si>
    <t>Michigan St</t>
  </si>
  <si>
    <t>Minnesota</t>
  </si>
  <si>
    <t>Mississippi</t>
  </si>
  <si>
    <t>Mississippi St</t>
  </si>
  <si>
    <t>Missouri KC</t>
  </si>
  <si>
    <t>Missouri St</t>
  </si>
  <si>
    <t>Monmouth NJ</t>
  </si>
  <si>
    <t>Montana</t>
  </si>
  <si>
    <t>Montana St</t>
  </si>
  <si>
    <t>Morehead St</t>
  </si>
  <si>
    <t>Morgan St</t>
  </si>
  <si>
    <t>Morris Brown</t>
  </si>
  <si>
    <t>MS Valley St</t>
  </si>
  <si>
    <t>Mt St Mary's</t>
  </si>
  <si>
    <t>MTSU</t>
  </si>
  <si>
    <t>Murray St</t>
  </si>
  <si>
    <t>N Colorado</t>
  </si>
  <si>
    <t>N Dakota St</t>
  </si>
  <si>
    <t>N Illinois</t>
  </si>
  <si>
    <t>N Kentucky</t>
  </si>
  <si>
    <t>NC A&amp;T</t>
  </si>
  <si>
    <t>NC Central</t>
  </si>
  <si>
    <t>NE Illinois</t>
  </si>
  <si>
    <t>NE Omaha</t>
  </si>
  <si>
    <t>Nevada</t>
  </si>
  <si>
    <t>New Hampshire</t>
  </si>
  <si>
    <t>New Mexico</t>
  </si>
  <si>
    <t>New Mexico St</t>
  </si>
  <si>
    <t>New Orleans</t>
  </si>
  <si>
    <t>Niagara</t>
  </si>
  <si>
    <t>Nicholls St</t>
  </si>
  <si>
    <t>NJIT</t>
  </si>
  <si>
    <t>Norfolk St</t>
  </si>
  <si>
    <t>North Dakota</t>
  </si>
  <si>
    <t>North Florida</t>
  </si>
  <si>
    <t>North Texas</t>
  </si>
  <si>
    <t>Northeastern</t>
  </si>
  <si>
    <t>Northern Arizona</t>
  </si>
  <si>
    <t>Northern Iowa</t>
  </si>
  <si>
    <t>Northwestern</t>
  </si>
  <si>
    <t>Northwestern LA</t>
  </si>
  <si>
    <t>Notre Dame</t>
  </si>
  <si>
    <t>Oakland</t>
  </si>
  <si>
    <t>Ohio</t>
  </si>
  <si>
    <t>Ohio St</t>
  </si>
  <si>
    <t>Okla City</t>
  </si>
  <si>
    <t>Oklahoma</t>
  </si>
  <si>
    <t>Oklahoma St</t>
  </si>
  <si>
    <t>Old Dominion</t>
  </si>
  <si>
    <t>Oral Roberts</t>
  </si>
  <si>
    <t>Oregon</t>
  </si>
  <si>
    <t>Oregon St</t>
  </si>
  <si>
    <t>Pacific</t>
  </si>
  <si>
    <t>Penn</t>
  </si>
  <si>
    <t>Penn St</t>
  </si>
  <si>
    <t>Pepperdine</t>
  </si>
  <si>
    <t>Pittsburgh</t>
  </si>
  <si>
    <t>Portland</t>
  </si>
  <si>
    <t>Portland St</t>
  </si>
  <si>
    <t>Prairie View</t>
  </si>
  <si>
    <t>Presbyterian</t>
  </si>
  <si>
    <t>Princeton</t>
  </si>
  <si>
    <t>Providence</t>
  </si>
  <si>
    <t>Quinnipiac</t>
  </si>
  <si>
    <t>Radford</t>
  </si>
  <si>
    <t>Rhode Island</t>
  </si>
  <si>
    <t>Rice</t>
  </si>
  <si>
    <t>Richmond</t>
  </si>
  <si>
    <t>Rider</t>
  </si>
  <si>
    <t>Robert Morris</t>
  </si>
  <si>
    <t>Rutgers</t>
  </si>
  <si>
    <t>S Carolina St</t>
  </si>
  <si>
    <t>S Dakota St</t>
  </si>
  <si>
    <t>S Illinois</t>
  </si>
  <si>
    <t>Sacred Heart</t>
  </si>
  <si>
    <t>Sam Houston St</t>
  </si>
  <si>
    <t>Samford</t>
  </si>
  <si>
    <t>San Diego</t>
  </si>
  <si>
    <t>San Diego St</t>
  </si>
  <si>
    <t>San Francisco</t>
  </si>
  <si>
    <t>San Jose St</t>
  </si>
  <si>
    <t>UC Santa Barbara</t>
  </si>
  <si>
    <t>Santa Clara</t>
  </si>
  <si>
    <t>Savannah St</t>
  </si>
  <si>
    <t>SC Upstate</t>
  </si>
  <si>
    <t>SE Louisiana</t>
  </si>
  <si>
    <t>SE Missouri St</t>
  </si>
  <si>
    <t>Seattle</t>
  </si>
  <si>
    <t>Seton Hall</t>
  </si>
  <si>
    <t>SF Austin</t>
  </si>
  <si>
    <t>Siena</t>
  </si>
  <si>
    <t>South Alabama</t>
  </si>
  <si>
    <t>South Carolina</t>
  </si>
  <si>
    <t>South Dakota</t>
  </si>
  <si>
    <t>South Florida</t>
  </si>
  <si>
    <t>Southern Miss</t>
  </si>
  <si>
    <t>Southern Univ</t>
  </si>
  <si>
    <t>Southern Utah</t>
  </si>
  <si>
    <t>St Bonaventure</t>
  </si>
  <si>
    <t>St Francis NY</t>
  </si>
  <si>
    <t>St Francis PA</t>
  </si>
  <si>
    <t>St John's</t>
  </si>
  <si>
    <t>St Joseph's PA</t>
  </si>
  <si>
    <t>St Louis</t>
  </si>
  <si>
    <t>St Mary's CA</t>
  </si>
  <si>
    <t>St Peter's</t>
  </si>
  <si>
    <t>Stanford</t>
  </si>
  <si>
    <t>Stetson</t>
  </si>
  <si>
    <t>Stony Brook</t>
  </si>
  <si>
    <t>Syracuse</t>
  </si>
  <si>
    <t>TAM C. Christi</t>
  </si>
  <si>
    <t>Temple</t>
  </si>
  <si>
    <t>Tennessee St</t>
  </si>
  <si>
    <t>Tennessee Tech</t>
  </si>
  <si>
    <t>Texas St</t>
  </si>
  <si>
    <t>TN Martin</t>
  </si>
  <si>
    <t>Toledo</t>
  </si>
  <si>
    <t>Towson</t>
  </si>
  <si>
    <t>Tulane</t>
  </si>
  <si>
    <t>Tulsa</t>
  </si>
  <si>
    <t>UTRGV</t>
  </si>
  <si>
    <t>TX Southern</t>
  </si>
  <si>
    <t>UAB</t>
  </si>
  <si>
    <t>UC Davis</t>
  </si>
  <si>
    <t>UC Riverside</t>
  </si>
  <si>
    <t>Louisiana</t>
  </si>
  <si>
    <t>ULM</t>
  </si>
  <si>
    <t>UMBC</t>
  </si>
  <si>
    <t>UNC Asheville</t>
  </si>
  <si>
    <t>UNC Greensboro</t>
  </si>
  <si>
    <t>UNLV</t>
  </si>
  <si>
    <t>USC</t>
  </si>
  <si>
    <t>UT Arlington</t>
  </si>
  <si>
    <t>UT San Antonio</t>
  </si>
  <si>
    <t>Utah</t>
  </si>
  <si>
    <t>Utah St</t>
  </si>
  <si>
    <t>Utah Valley</t>
  </si>
  <si>
    <t>UTEP</t>
  </si>
  <si>
    <t>Utica</t>
  </si>
  <si>
    <t>VCU</t>
  </si>
  <si>
    <t>Valparaiso</t>
  </si>
  <si>
    <t>Vermont</t>
  </si>
  <si>
    <t>Virginia Tech</t>
  </si>
  <si>
    <t>VMI</t>
  </si>
  <si>
    <t>W Carolina</t>
  </si>
  <si>
    <t>W Illinois</t>
  </si>
  <si>
    <t>WKU</t>
  </si>
  <si>
    <t>W Michigan</t>
  </si>
  <si>
    <t>W Salem St</t>
  </si>
  <si>
    <t>W Texas A&amp;M</t>
  </si>
  <si>
    <t>Wagner</t>
  </si>
  <si>
    <t>Wake Forest</t>
  </si>
  <si>
    <t>Washington</t>
  </si>
  <si>
    <t>Washington St</t>
  </si>
  <si>
    <t>Weber St</t>
  </si>
  <si>
    <t>West Virginia</t>
  </si>
  <si>
    <t>WI Green Bay</t>
  </si>
  <si>
    <t>WI Milwaukee</t>
  </si>
  <si>
    <t>Wichita St</t>
  </si>
  <si>
    <t>William &amp; Mary</t>
  </si>
  <si>
    <t>Winthrop</t>
  </si>
  <si>
    <t>Wofford</t>
  </si>
  <si>
    <t>Wright St</t>
  </si>
  <si>
    <t>Wyoming</t>
  </si>
  <si>
    <t>Xavier</t>
  </si>
  <si>
    <t>Youngstown St</t>
  </si>
  <si>
    <t>North Alabama</t>
  </si>
  <si>
    <t>Bellarmine</t>
  </si>
  <si>
    <t>Utah Tech</t>
  </si>
  <si>
    <t>Tarleton St</t>
  </si>
  <si>
    <t>UC San Diego</t>
  </si>
  <si>
    <t>St Thomas MN</t>
  </si>
  <si>
    <t>Lindenwood</t>
  </si>
  <si>
    <t>Queens NC</t>
  </si>
  <si>
    <t>Southern Indiana</t>
  </si>
  <si>
    <t>Stonehill</t>
  </si>
  <si>
    <t>East Texas A&amp;M</t>
  </si>
  <si>
    <t>Le Moyne</t>
  </si>
  <si>
    <t>Mercyhurst</t>
  </si>
  <si>
    <t>West Georgia</t>
  </si>
  <si>
    <t>New Haven</t>
  </si>
  <si>
    <t>AlternateTeam</t>
  </si>
  <si>
    <t>Z11</t>
  </si>
  <si>
    <t>Y16</t>
  </si>
  <si>
    <t>Y11</t>
  </si>
  <si>
    <t>X16</t>
  </si>
  <si>
    <t>R1W1</t>
  </si>
  <si>
    <t>R1W2</t>
  </si>
  <si>
    <t>R1W3</t>
  </si>
  <si>
    <t>R1W4</t>
  </si>
  <si>
    <t>R1W5</t>
  </si>
  <si>
    <t>R1W6</t>
  </si>
  <si>
    <t>R1W7</t>
  </si>
  <si>
    <t>R1W8</t>
  </si>
  <si>
    <t>R1X1</t>
  </si>
  <si>
    <t>R1X2</t>
  </si>
  <si>
    <t>R1X3</t>
  </si>
  <si>
    <t>R1X4</t>
  </si>
  <si>
    <t>R1X5</t>
  </si>
  <si>
    <t>R1X6</t>
  </si>
  <si>
    <t>R1X7</t>
  </si>
  <si>
    <t>R1X8</t>
  </si>
  <si>
    <t>R1Y1</t>
  </si>
  <si>
    <t>R1Y2</t>
  </si>
  <si>
    <t>R1Y3</t>
  </si>
  <si>
    <t>R1Y4</t>
  </si>
  <si>
    <t>R1Y5</t>
  </si>
  <si>
    <t>R1Y6</t>
  </si>
  <si>
    <t>R1Y7</t>
  </si>
  <si>
    <t>R1Y8</t>
  </si>
  <si>
    <t>R1Z1</t>
  </si>
  <si>
    <t>R1Z2</t>
  </si>
  <si>
    <t>R1Z3</t>
  </si>
  <si>
    <t>R1Z4</t>
  </si>
  <si>
    <t>R1Z5</t>
  </si>
  <si>
    <t>R1Z6</t>
  </si>
  <si>
    <t>R1Z7</t>
  </si>
  <si>
    <t>R1Z8</t>
  </si>
  <si>
    <t>Slot</t>
  </si>
  <si>
    <t>StrongSeed</t>
  </si>
  <si>
    <t>WeakSeed</t>
  </si>
  <si>
    <t>Sort</t>
  </si>
  <si>
    <t>Region 1</t>
  </si>
  <si>
    <t>Region 2</t>
  </si>
  <si>
    <t>Region 3</t>
  </si>
  <si>
    <t>Region 4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</si>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</sst>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7E70F-4F5E-4F0E-A5AE-0D4666BF0ED1}" name="Table1" displayName="Table1" ref="A1:G65" totalsRowShown="0">
  <autoFilter ref="A1:G65" xr:uid="{0217E70F-4F5E-4F0E-A5AE-0D4666BF0ED1}"/>
  <sortState xmlns:xlrd2="http://schemas.microsoft.com/office/spreadsheetml/2017/richdata2" ref="A2:F65">
    <sortCondition ref="D1:D65"/>
  </sortState>
  <tableColumns count="7">
    <tableColumn id="3" xr3:uid="{E6F7FD61-75FB-4D12-953C-401808165DB1}" name="Sort"/>
    <tableColumn id="1" xr3:uid="{7A11AD41-DC38-4C8C-89BD-CBEB296EE832}" name="Seed"/>
    <tableColumn id="2" xr3:uid="{4D14D4A2-01A7-488B-A9C6-21322178F005}" name="TeamName"/>
    <tableColumn id="4" xr3:uid="{CAF0B7CC-C2EC-45E1-A0BA-AE9E2D4881EC}" name="Region"/>
    <tableColumn id="5" xr3:uid="{5E30EAF2-A0F5-4BBE-8374-D8A9C488F5AA}" name="TeamID" dataDxfId="3">
      <calculatedColumnFormula>VLOOKUP(Table1[[#This Row],[TeamName]],MTeams!A:B,2,FALSE)</calculatedColumnFormula>
    </tableColumn>
    <tableColumn id="6" xr3:uid="{AE1CA691-C58D-4C87-BD25-0F2A41C412B7}" name="AlternateTeam"/>
    <tableColumn id="7" xr3:uid="{6752648B-6203-49C3-AC76-DB378D0680DF}" name="Duplicate" dataDxfId="0">
      <calculatedColumnFormula>COUNTIF(E:E, E2)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BF47F6-423C-4A9F-BFE6-155FBF1A8F70}" name="Table2" displayName="Table2" ref="A1:C65" totalsRowShown="0">
  <autoFilter ref="A1:C65" xr:uid="{73BF47F6-423C-4A9F-BFE6-155FBF1A8F70}"/>
  <tableColumns count="3">
    <tableColumn id="1" xr3:uid="{99B28F20-CF96-4E8F-B3A6-9ED5C9A3FD3B}" name="Season"/>
    <tableColumn id="2" xr3:uid="{D4EA3376-5D7A-4A46-87B1-B9A6D2254763}" name="Seed"/>
    <tableColumn id="3" xr3:uid="{68340919-7805-4C6F-93A8-7FFFBCBCBC2A}" name="TeamID">
      <calculatedColumnFormula array="1">_xlfn.XLOOKUP(
    _xlfn.SWITCH(LEFT(B2,1), "W", "East", "X", "South", "Y", "Midwest", "Z", "West") &amp; "|" &amp; IF(MID(B2,2,1)="0", MID(B2,3,2), MID(B2,2,3)),
    'Mens Seeding'!$D$2:$D$100 &amp; "|" &amp; 'Mens Seeding'!$B$2:$B$100,
    'Mens Seeding'!$E$2:$E$100,
    "Not Found"
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55161A-D3E7-4178-A7B1-055F1B8F98D1}" name="Table17" displayName="Table17" ref="A1:G65" totalsRowShown="0">
  <autoFilter ref="A1:G65" xr:uid="{0955161A-D3E7-4178-A7B1-055F1B8F98D1}"/>
  <sortState xmlns:xlrd2="http://schemas.microsoft.com/office/spreadsheetml/2017/richdata2" ref="A2:F65">
    <sortCondition ref="D1:D65"/>
  </sortState>
  <tableColumns count="7">
    <tableColumn id="3" xr3:uid="{7FC88068-D733-4587-8EE1-C2C73495C466}" name="Sort"/>
    <tableColumn id="1" xr3:uid="{0B77D207-017E-4EB1-8903-F81AED8F640F}" name="Seed"/>
    <tableColumn id="2" xr3:uid="{397D7518-7135-41A9-8144-EF17A2CF6A72}" name="TeamName"/>
    <tableColumn id="4" xr3:uid="{CB5CE186-2F6B-4808-B53E-4ACFEB22A000}" name="Region"/>
    <tableColumn id="5" xr3:uid="{DDDECD28-3B02-458F-BBE3-65C89491D930}" name="TeamID" dataDxfId="2">
      <calculatedColumnFormula>VLOOKUP(Table17[[#This Row],[TeamName]],WTeams!A:B,2,FALSE)</calculatedColumnFormula>
    </tableColumn>
    <tableColumn id="6" xr3:uid="{951E3425-C7B8-4E5C-8762-73A3405BA1B7}" name="AlternateTeam"/>
    <tableColumn id="7" xr3:uid="{87C25776-2ED2-4208-AEE2-2757A018F82A}" name="Duplicate">
      <calculatedColumnFormula>COUNTIF(E:E, E2)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009023F-9DAB-41D9-B686-E09274D0AE84}" name="Table25" displayName="Table25" ref="A1:C65" totalsRowShown="0">
  <autoFilter ref="A1:C65" xr:uid="{73BF47F6-423C-4A9F-BFE6-155FBF1A8F70}"/>
  <tableColumns count="3">
    <tableColumn id="1" xr3:uid="{58749DCF-074F-43E4-A57D-6FF021246803}" name="Season"/>
    <tableColumn id="2" xr3:uid="{89BD143B-4850-4954-9645-79944B785F44}" name="Seed"/>
    <tableColumn id="3" xr3:uid="{D8DD5045-02BC-498E-AC80-1BFC07339CE9}" name="TeamID" dataDxfId="1">
      <calculatedColumnFormula array="1">_xlfn.XLOOKUP(
    _xlfn.SWITCH(LEFT(B2,1), "W", "Region 1", "X", "Region 2", "Y", "Region 3", "Z", "Region 4") &amp; "|" &amp; IF(MID(B2,2,1)="0", MID(B2,3,2), MID(B2,2,3)),
    'Womens Seeding'!$D$2:$D$100 &amp; "|" &amp; 'Womens Seeding'!$B$2:$B$100,
    'Womens Seeding'!$E$2:$E$100,
    "Not Found"
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8F1A2-3584-450E-A7D9-CF2A4278540D}">
  <dimension ref="A1:D382"/>
  <sheetViews>
    <sheetView workbookViewId="0">
      <selection activeCell="A148" sqref="A148"/>
    </sheetView>
  </sheetViews>
  <sheetFormatPr defaultRowHeight="14.4" x14ac:dyDescent="0.3"/>
  <cols>
    <col min="1" max="1" width="40.109375" customWidth="1"/>
    <col min="2" max="2" width="19.109375" customWidth="1"/>
  </cols>
  <sheetData>
    <row r="1" spans="1:4" x14ac:dyDescent="0.3">
      <c r="A1" t="s">
        <v>111</v>
      </c>
      <c r="B1" t="s">
        <v>2</v>
      </c>
      <c r="C1" t="s">
        <v>112</v>
      </c>
      <c r="D1" t="s">
        <v>113</v>
      </c>
    </row>
    <row r="2" spans="1:4" x14ac:dyDescent="0.3">
      <c r="A2" t="s">
        <v>114</v>
      </c>
      <c r="B2">
        <v>1101</v>
      </c>
      <c r="C2">
        <v>2014</v>
      </c>
      <c r="D2">
        <v>2026</v>
      </c>
    </row>
    <row r="3" spans="1:4" x14ac:dyDescent="0.3">
      <c r="A3" t="s">
        <v>115</v>
      </c>
      <c r="B3">
        <v>1102</v>
      </c>
      <c r="C3">
        <v>1985</v>
      </c>
      <c r="D3">
        <v>2026</v>
      </c>
    </row>
    <row r="4" spans="1:4" x14ac:dyDescent="0.3">
      <c r="A4" t="s">
        <v>116</v>
      </c>
      <c r="B4">
        <v>1103</v>
      </c>
      <c r="C4">
        <v>1985</v>
      </c>
      <c r="D4">
        <v>2026</v>
      </c>
    </row>
    <row r="5" spans="1:4" x14ac:dyDescent="0.3">
      <c r="A5" t="s">
        <v>67</v>
      </c>
      <c r="B5">
        <v>1104</v>
      </c>
      <c r="C5">
        <v>1985</v>
      </c>
      <c r="D5">
        <v>2026</v>
      </c>
    </row>
    <row r="6" spans="1:4" x14ac:dyDescent="0.3">
      <c r="A6" t="s">
        <v>117</v>
      </c>
      <c r="B6">
        <v>1105</v>
      </c>
      <c r="C6">
        <v>2000</v>
      </c>
      <c r="D6">
        <v>2026</v>
      </c>
    </row>
    <row r="7" spans="1:4" x14ac:dyDescent="0.3">
      <c r="A7" t="s">
        <v>118</v>
      </c>
      <c r="B7">
        <v>1106</v>
      </c>
      <c r="C7">
        <v>1985</v>
      </c>
      <c r="D7">
        <v>2026</v>
      </c>
    </row>
    <row r="8" spans="1:4" x14ac:dyDescent="0.3">
      <c r="A8" t="s">
        <v>119</v>
      </c>
      <c r="B8">
        <v>1107</v>
      </c>
      <c r="C8">
        <v>2000</v>
      </c>
      <c r="D8">
        <v>2026</v>
      </c>
    </row>
    <row r="9" spans="1:4" x14ac:dyDescent="0.3">
      <c r="A9" t="s">
        <v>120</v>
      </c>
      <c r="B9">
        <v>1108</v>
      </c>
      <c r="C9">
        <v>1985</v>
      </c>
      <c r="D9">
        <v>2026</v>
      </c>
    </row>
    <row r="10" spans="1:4" x14ac:dyDescent="0.3">
      <c r="A10" t="s">
        <v>121</v>
      </c>
      <c r="B10">
        <v>1109</v>
      </c>
      <c r="C10">
        <v>1985</v>
      </c>
      <c r="D10">
        <v>1991</v>
      </c>
    </row>
    <row r="11" spans="1:4" x14ac:dyDescent="0.3">
      <c r="A11" t="s">
        <v>122</v>
      </c>
      <c r="B11">
        <v>1110</v>
      </c>
      <c r="C11">
        <v>1985</v>
      </c>
      <c r="D11">
        <v>2026</v>
      </c>
    </row>
    <row r="12" spans="1:4" x14ac:dyDescent="0.3">
      <c r="A12" t="s">
        <v>123</v>
      </c>
      <c r="B12">
        <v>1111</v>
      </c>
      <c r="C12">
        <v>1985</v>
      </c>
      <c r="D12">
        <v>2026</v>
      </c>
    </row>
    <row r="13" spans="1:4" x14ac:dyDescent="0.3">
      <c r="A13" t="s">
        <v>63</v>
      </c>
      <c r="B13">
        <v>1112</v>
      </c>
      <c r="C13">
        <v>1985</v>
      </c>
      <c r="D13">
        <v>2026</v>
      </c>
    </row>
    <row r="14" spans="1:4" x14ac:dyDescent="0.3">
      <c r="A14" t="s">
        <v>124</v>
      </c>
      <c r="B14">
        <v>1113</v>
      </c>
      <c r="C14">
        <v>1985</v>
      </c>
      <c r="D14">
        <v>2026</v>
      </c>
    </row>
    <row r="15" spans="1:4" x14ac:dyDescent="0.3">
      <c r="A15" t="s">
        <v>125</v>
      </c>
      <c r="B15">
        <v>1114</v>
      </c>
      <c r="C15">
        <v>1985</v>
      </c>
      <c r="D15">
        <v>2026</v>
      </c>
    </row>
    <row r="16" spans="1:4" x14ac:dyDescent="0.3">
      <c r="A16" t="s">
        <v>126</v>
      </c>
      <c r="B16">
        <v>1115</v>
      </c>
      <c r="C16">
        <v>1999</v>
      </c>
      <c r="D16">
        <v>2026</v>
      </c>
    </row>
    <row r="17" spans="1:4" x14ac:dyDescent="0.3">
      <c r="A17" t="s">
        <v>75</v>
      </c>
      <c r="B17">
        <v>1116</v>
      </c>
      <c r="C17">
        <v>1985</v>
      </c>
      <c r="D17">
        <v>2026</v>
      </c>
    </row>
    <row r="18" spans="1:4" x14ac:dyDescent="0.3">
      <c r="A18" t="s">
        <v>127</v>
      </c>
      <c r="B18">
        <v>1117</v>
      </c>
      <c r="C18">
        <v>1985</v>
      </c>
      <c r="D18">
        <v>2026</v>
      </c>
    </row>
    <row r="19" spans="1:4" x14ac:dyDescent="0.3">
      <c r="A19" t="s">
        <v>128</v>
      </c>
      <c r="B19">
        <v>1118</v>
      </c>
      <c r="C19">
        <v>1987</v>
      </c>
      <c r="D19">
        <v>1987</v>
      </c>
    </row>
    <row r="20" spans="1:4" x14ac:dyDescent="0.3">
      <c r="A20" t="s">
        <v>129</v>
      </c>
      <c r="B20">
        <v>1119</v>
      </c>
      <c r="C20">
        <v>1985</v>
      </c>
      <c r="D20">
        <v>2026</v>
      </c>
    </row>
    <row r="21" spans="1:4" x14ac:dyDescent="0.3">
      <c r="A21" t="s">
        <v>130</v>
      </c>
      <c r="B21">
        <v>1120</v>
      </c>
      <c r="C21">
        <v>1985</v>
      </c>
      <c r="D21">
        <v>2026</v>
      </c>
    </row>
    <row r="22" spans="1:4" x14ac:dyDescent="0.3">
      <c r="A22" t="s">
        <v>131</v>
      </c>
      <c r="B22">
        <v>1121</v>
      </c>
      <c r="C22">
        <v>1985</v>
      </c>
      <c r="D22">
        <v>1991</v>
      </c>
    </row>
    <row r="23" spans="1:4" x14ac:dyDescent="0.3">
      <c r="A23" t="s">
        <v>132</v>
      </c>
      <c r="B23">
        <v>1122</v>
      </c>
      <c r="C23">
        <v>1985</v>
      </c>
      <c r="D23">
        <v>2026</v>
      </c>
    </row>
    <row r="24" spans="1:4" x14ac:dyDescent="0.3">
      <c r="A24" t="s">
        <v>133</v>
      </c>
      <c r="B24">
        <v>1123</v>
      </c>
      <c r="C24">
        <v>1985</v>
      </c>
      <c r="D24">
        <v>2026</v>
      </c>
    </row>
    <row r="25" spans="1:4" x14ac:dyDescent="0.3">
      <c r="A25" t="s">
        <v>134</v>
      </c>
      <c r="B25">
        <v>1124</v>
      </c>
      <c r="C25">
        <v>1985</v>
      </c>
      <c r="D25">
        <v>2026</v>
      </c>
    </row>
    <row r="26" spans="1:4" x14ac:dyDescent="0.3">
      <c r="A26" t="s">
        <v>66</v>
      </c>
      <c r="B26">
        <v>1125</v>
      </c>
      <c r="C26">
        <v>2000</v>
      </c>
      <c r="D26">
        <v>2026</v>
      </c>
    </row>
    <row r="27" spans="1:4" x14ac:dyDescent="0.3">
      <c r="A27" t="s">
        <v>135</v>
      </c>
      <c r="B27">
        <v>1126</v>
      </c>
      <c r="C27">
        <v>1985</v>
      </c>
      <c r="D27">
        <v>2026</v>
      </c>
    </row>
    <row r="28" spans="1:4" x14ac:dyDescent="0.3">
      <c r="A28" t="s">
        <v>136</v>
      </c>
      <c r="B28">
        <v>1127</v>
      </c>
      <c r="C28">
        <v>2002</v>
      </c>
      <c r="D28">
        <v>2026</v>
      </c>
    </row>
    <row r="29" spans="1:4" x14ac:dyDescent="0.3">
      <c r="A29" t="s">
        <v>137</v>
      </c>
      <c r="B29">
        <v>1128</v>
      </c>
      <c r="C29">
        <v>2003</v>
      </c>
      <c r="D29">
        <v>2006</v>
      </c>
    </row>
    <row r="30" spans="1:4" x14ac:dyDescent="0.3">
      <c r="A30" t="s">
        <v>138</v>
      </c>
      <c r="B30">
        <v>1129</v>
      </c>
      <c r="C30">
        <v>1985</v>
      </c>
      <c r="D30">
        <v>2026</v>
      </c>
    </row>
    <row r="31" spans="1:4" x14ac:dyDescent="0.3">
      <c r="A31" t="s">
        <v>139</v>
      </c>
      <c r="B31">
        <v>1130</v>
      </c>
      <c r="C31">
        <v>1985</v>
      </c>
      <c r="D31">
        <v>2026</v>
      </c>
    </row>
    <row r="32" spans="1:4" x14ac:dyDescent="0.3">
      <c r="A32" t="s">
        <v>140</v>
      </c>
      <c r="B32">
        <v>1131</v>
      </c>
      <c r="C32">
        <v>1985</v>
      </c>
      <c r="D32">
        <v>2026</v>
      </c>
    </row>
    <row r="33" spans="1:4" x14ac:dyDescent="0.3">
      <c r="A33" t="s">
        <v>141</v>
      </c>
      <c r="B33">
        <v>1132</v>
      </c>
      <c r="C33">
        <v>1985</v>
      </c>
      <c r="D33">
        <v>2026</v>
      </c>
    </row>
    <row r="34" spans="1:4" x14ac:dyDescent="0.3">
      <c r="A34" t="s">
        <v>142</v>
      </c>
      <c r="B34">
        <v>1133</v>
      </c>
      <c r="C34">
        <v>1985</v>
      </c>
      <c r="D34">
        <v>2026</v>
      </c>
    </row>
    <row r="35" spans="1:4" x14ac:dyDescent="0.3">
      <c r="A35" t="s">
        <v>143</v>
      </c>
      <c r="B35">
        <v>1134</v>
      </c>
      <c r="C35">
        <v>1985</v>
      </c>
      <c r="D35">
        <v>1992</v>
      </c>
    </row>
    <row r="36" spans="1:4" x14ac:dyDescent="0.3">
      <c r="A36" t="s">
        <v>144</v>
      </c>
      <c r="B36">
        <v>1135</v>
      </c>
      <c r="C36">
        <v>1985</v>
      </c>
      <c r="D36">
        <v>2026</v>
      </c>
    </row>
    <row r="37" spans="1:4" x14ac:dyDescent="0.3">
      <c r="A37" t="s">
        <v>145</v>
      </c>
      <c r="B37">
        <v>1136</v>
      </c>
      <c r="C37">
        <v>2009</v>
      </c>
      <c r="D37">
        <v>2026</v>
      </c>
    </row>
    <row r="38" spans="1:4" x14ac:dyDescent="0.3">
      <c r="A38" t="s">
        <v>146</v>
      </c>
      <c r="B38">
        <v>1137</v>
      </c>
      <c r="C38">
        <v>1985</v>
      </c>
      <c r="D38">
        <v>2026</v>
      </c>
    </row>
    <row r="39" spans="1:4" x14ac:dyDescent="0.3">
      <c r="A39" t="s">
        <v>147</v>
      </c>
      <c r="B39">
        <v>1138</v>
      </c>
      <c r="C39">
        <v>1992</v>
      </c>
      <c r="D39">
        <v>2026</v>
      </c>
    </row>
    <row r="40" spans="1:4" x14ac:dyDescent="0.3">
      <c r="A40" t="s">
        <v>148</v>
      </c>
      <c r="B40">
        <v>1139</v>
      </c>
      <c r="C40">
        <v>1985</v>
      </c>
      <c r="D40">
        <v>2026</v>
      </c>
    </row>
    <row r="41" spans="1:4" x14ac:dyDescent="0.3">
      <c r="A41" t="s">
        <v>77</v>
      </c>
      <c r="B41">
        <v>1140</v>
      </c>
      <c r="C41">
        <v>1985</v>
      </c>
      <c r="D41">
        <v>2026</v>
      </c>
    </row>
    <row r="42" spans="1:4" x14ac:dyDescent="0.3">
      <c r="A42" t="s">
        <v>149</v>
      </c>
      <c r="B42">
        <v>1141</v>
      </c>
      <c r="C42">
        <v>1985</v>
      </c>
      <c r="D42">
        <v>2026</v>
      </c>
    </row>
    <row r="43" spans="1:4" x14ac:dyDescent="0.3">
      <c r="A43" t="s">
        <v>150</v>
      </c>
      <c r="B43">
        <v>1142</v>
      </c>
      <c r="C43">
        <v>1995</v>
      </c>
      <c r="D43">
        <v>2026</v>
      </c>
    </row>
    <row r="44" spans="1:4" x14ac:dyDescent="0.3">
      <c r="A44" t="s">
        <v>151</v>
      </c>
      <c r="B44">
        <v>1143</v>
      </c>
      <c r="C44">
        <v>1985</v>
      </c>
      <c r="D44">
        <v>2026</v>
      </c>
    </row>
    <row r="45" spans="1:4" x14ac:dyDescent="0.3">
      <c r="A45" t="s">
        <v>152</v>
      </c>
      <c r="B45">
        <v>1144</v>
      </c>
      <c r="C45">
        <v>1985</v>
      </c>
      <c r="D45">
        <v>2026</v>
      </c>
    </row>
    <row r="46" spans="1:4" x14ac:dyDescent="0.3">
      <c r="A46" t="s">
        <v>153</v>
      </c>
      <c r="B46">
        <v>1145</v>
      </c>
      <c r="C46">
        <v>1985</v>
      </c>
      <c r="D46">
        <v>2026</v>
      </c>
    </row>
    <row r="47" spans="1:4" x14ac:dyDescent="0.3">
      <c r="A47" t="s">
        <v>154</v>
      </c>
      <c r="B47">
        <v>1146</v>
      </c>
      <c r="C47">
        <v>2007</v>
      </c>
      <c r="D47">
        <v>2026</v>
      </c>
    </row>
    <row r="48" spans="1:4" x14ac:dyDescent="0.3">
      <c r="A48" t="s">
        <v>155</v>
      </c>
      <c r="B48">
        <v>1147</v>
      </c>
      <c r="C48">
        <v>1985</v>
      </c>
      <c r="D48">
        <v>2011</v>
      </c>
    </row>
    <row r="49" spans="1:4" x14ac:dyDescent="0.3">
      <c r="A49" t="s">
        <v>156</v>
      </c>
      <c r="B49">
        <v>1148</v>
      </c>
      <c r="C49">
        <v>1987</v>
      </c>
      <c r="D49">
        <v>2026</v>
      </c>
    </row>
    <row r="50" spans="1:4" x14ac:dyDescent="0.3">
      <c r="A50" t="s">
        <v>157</v>
      </c>
      <c r="B50">
        <v>1149</v>
      </c>
      <c r="C50">
        <v>1985</v>
      </c>
      <c r="D50">
        <v>2026</v>
      </c>
    </row>
    <row r="51" spans="1:4" x14ac:dyDescent="0.3">
      <c r="A51" t="s">
        <v>158</v>
      </c>
      <c r="B51">
        <v>1150</v>
      </c>
      <c r="C51">
        <v>1985</v>
      </c>
      <c r="D51">
        <v>2026</v>
      </c>
    </row>
    <row r="52" spans="1:4" x14ac:dyDescent="0.3">
      <c r="A52" t="s">
        <v>159</v>
      </c>
      <c r="B52">
        <v>1151</v>
      </c>
      <c r="C52">
        <v>1985</v>
      </c>
      <c r="D52">
        <v>2026</v>
      </c>
    </row>
    <row r="53" spans="1:4" x14ac:dyDescent="0.3">
      <c r="A53" t="s">
        <v>160</v>
      </c>
      <c r="B53">
        <v>1152</v>
      </c>
      <c r="C53">
        <v>1985</v>
      </c>
      <c r="D53">
        <v>2026</v>
      </c>
    </row>
    <row r="54" spans="1:4" x14ac:dyDescent="0.3">
      <c r="A54" t="s">
        <v>161</v>
      </c>
      <c r="B54">
        <v>1153</v>
      </c>
      <c r="C54">
        <v>1985</v>
      </c>
      <c r="D54">
        <v>2026</v>
      </c>
    </row>
    <row r="55" spans="1:4" x14ac:dyDescent="0.3">
      <c r="A55" t="s">
        <v>162</v>
      </c>
      <c r="B55">
        <v>1154</v>
      </c>
      <c r="C55">
        <v>1985</v>
      </c>
      <c r="D55">
        <v>2026</v>
      </c>
    </row>
    <row r="56" spans="1:4" x14ac:dyDescent="0.3">
      <c r="A56" t="s">
        <v>64</v>
      </c>
      <c r="B56">
        <v>1155</v>
      </c>
      <c r="C56">
        <v>1985</v>
      </c>
      <c r="D56">
        <v>2026</v>
      </c>
    </row>
    <row r="57" spans="1:4" x14ac:dyDescent="0.3">
      <c r="A57" t="s">
        <v>163</v>
      </c>
      <c r="B57">
        <v>1156</v>
      </c>
      <c r="C57">
        <v>1985</v>
      </c>
      <c r="D57">
        <v>2026</v>
      </c>
    </row>
    <row r="58" spans="1:4" x14ac:dyDescent="0.3">
      <c r="A58" t="s">
        <v>164</v>
      </c>
      <c r="B58">
        <v>1157</v>
      </c>
      <c r="C58">
        <v>1987</v>
      </c>
      <c r="D58">
        <v>2026</v>
      </c>
    </row>
    <row r="59" spans="1:4" x14ac:dyDescent="0.3">
      <c r="A59" t="s">
        <v>165</v>
      </c>
      <c r="B59">
        <v>1158</v>
      </c>
      <c r="C59">
        <v>1992</v>
      </c>
      <c r="D59">
        <v>2026</v>
      </c>
    </row>
    <row r="60" spans="1:4" x14ac:dyDescent="0.3">
      <c r="A60" t="s">
        <v>166</v>
      </c>
      <c r="B60">
        <v>1159</v>
      </c>
      <c r="C60">
        <v>1985</v>
      </c>
      <c r="D60">
        <v>2026</v>
      </c>
    </row>
    <row r="61" spans="1:4" x14ac:dyDescent="0.3">
      <c r="A61" t="s">
        <v>167</v>
      </c>
      <c r="B61">
        <v>1160</v>
      </c>
      <c r="C61">
        <v>1985</v>
      </c>
      <c r="D61">
        <v>2026</v>
      </c>
    </row>
    <row r="62" spans="1:4" x14ac:dyDescent="0.3">
      <c r="A62" t="s">
        <v>168</v>
      </c>
      <c r="B62">
        <v>1161</v>
      </c>
      <c r="C62">
        <v>1985</v>
      </c>
      <c r="D62">
        <v>2026</v>
      </c>
    </row>
    <row r="63" spans="1:4" x14ac:dyDescent="0.3">
      <c r="A63" t="s">
        <v>169</v>
      </c>
      <c r="B63">
        <v>1162</v>
      </c>
      <c r="C63">
        <v>1985</v>
      </c>
      <c r="D63">
        <v>2026</v>
      </c>
    </row>
    <row r="64" spans="1:4" x14ac:dyDescent="0.3">
      <c r="A64" t="s">
        <v>170</v>
      </c>
      <c r="B64">
        <v>1163</v>
      </c>
      <c r="C64">
        <v>1985</v>
      </c>
      <c r="D64">
        <v>2026</v>
      </c>
    </row>
    <row r="65" spans="1:4" x14ac:dyDescent="0.3">
      <c r="A65" t="s">
        <v>171</v>
      </c>
      <c r="B65">
        <v>1164</v>
      </c>
      <c r="C65">
        <v>1986</v>
      </c>
      <c r="D65">
        <v>2026</v>
      </c>
    </row>
    <row r="66" spans="1:4" x14ac:dyDescent="0.3">
      <c r="A66" t="s">
        <v>172</v>
      </c>
      <c r="B66">
        <v>1165</v>
      </c>
      <c r="C66">
        <v>1985</v>
      </c>
      <c r="D66">
        <v>2026</v>
      </c>
    </row>
    <row r="67" spans="1:4" x14ac:dyDescent="0.3">
      <c r="A67" t="s">
        <v>173</v>
      </c>
      <c r="B67">
        <v>1166</v>
      </c>
      <c r="C67">
        <v>1985</v>
      </c>
      <c r="D67">
        <v>2026</v>
      </c>
    </row>
    <row r="68" spans="1:4" x14ac:dyDescent="0.3">
      <c r="A68" t="s">
        <v>174</v>
      </c>
      <c r="B68">
        <v>1167</v>
      </c>
      <c r="C68">
        <v>2008</v>
      </c>
      <c r="D68">
        <v>2026</v>
      </c>
    </row>
    <row r="69" spans="1:4" x14ac:dyDescent="0.3">
      <c r="A69" t="s">
        <v>175</v>
      </c>
      <c r="B69">
        <v>1168</v>
      </c>
      <c r="C69">
        <v>1985</v>
      </c>
      <c r="D69">
        <v>2026</v>
      </c>
    </row>
    <row r="70" spans="1:4" x14ac:dyDescent="0.3">
      <c r="A70" t="s">
        <v>176</v>
      </c>
      <c r="B70">
        <v>1169</v>
      </c>
      <c r="C70">
        <v>1991</v>
      </c>
      <c r="D70">
        <v>2026</v>
      </c>
    </row>
    <row r="71" spans="1:4" x14ac:dyDescent="0.3">
      <c r="A71" t="s">
        <v>177</v>
      </c>
      <c r="B71">
        <v>1170</v>
      </c>
      <c r="C71">
        <v>1992</v>
      </c>
      <c r="D71">
        <v>2026</v>
      </c>
    </row>
    <row r="72" spans="1:4" x14ac:dyDescent="0.3">
      <c r="A72" t="s">
        <v>178</v>
      </c>
      <c r="B72">
        <v>1171</v>
      </c>
      <c r="C72">
        <v>1985</v>
      </c>
      <c r="D72">
        <v>2026</v>
      </c>
    </row>
    <row r="73" spans="1:4" x14ac:dyDescent="0.3">
      <c r="A73" t="s">
        <v>179</v>
      </c>
      <c r="B73">
        <v>1172</v>
      </c>
      <c r="C73">
        <v>1985</v>
      </c>
      <c r="D73">
        <v>2026</v>
      </c>
    </row>
    <row r="74" spans="1:4" x14ac:dyDescent="0.3">
      <c r="A74" t="s">
        <v>180</v>
      </c>
      <c r="B74">
        <v>1173</v>
      </c>
      <c r="C74">
        <v>1985</v>
      </c>
      <c r="D74">
        <v>2026</v>
      </c>
    </row>
    <row r="75" spans="1:4" x14ac:dyDescent="0.3">
      <c r="A75" t="s">
        <v>181</v>
      </c>
      <c r="B75">
        <v>1174</v>
      </c>
      <c r="C75">
        <v>1985</v>
      </c>
      <c r="D75">
        <v>2026</v>
      </c>
    </row>
    <row r="76" spans="1:4" x14ac:dyDescent="0.3">
      <c r="A76" t="s">
        <v>182</v>
      </c>
      <c r="B76">
        <v>1175</v>
      </c>
      <c r="C76">
        <v>1985</v>
      </c>
      <c r="D76">
        <v>2026</v>
      </c>
    </row>
    <row r="77" spans="1:4" x14ac:dyDescent="0.3">
      <c r="A77" t="s">
        <v>183</v>
      </c>
      <c r="B77">
        <v>1176</v>
      </c>
      <c r="C77">
        <v>1999</v>
      </c>
      <c r="D77">
        <v>2026</v>
      </c>
    </row>
    <row r="78" spans="1:4" x14ac:dyDescent="0.3">
      <c r="A78" t="s">
        <v>184</v>
      </c>
      <c r="B78">
        <v>1177</v>
      </c>
      <c r="C78">
        <v>1985</v>
      </c>
      <c r="D78">
        <v>2026</v>
      </c>
    </row>
    <row r="79" spans="1:4" x14ac:dyDescent="0.3">
      <c r="A79" t="s">
        <v>185</v>
      </c>
      <c r="B79">
        <v>1178</v>
      </c>
      <c r="C79">
        <v>1985</v>
      </c>
      <c r="D79">
        <v>2026</v>
      </c>
    </row>
    <row r="80" spans="1:4" x14ac:dyDescent="0.3">
      <c r="A80" t="s">
        <v>186</v>
      </c>
      <c r="B80">
        <v>1179</v>
      </c>
      <c r="C80">
        <v>1985</v>
      </c>
      <c r="D80">
        <v>2026</v>
      </c>
    </row>
    <row r="81" spans="1:4" x14ac:dyDescent="0.3">
      <c r="A81" t="s">
        <v>187</v>
      </c>
      <c r="B81">
        <v>1180</v>
      </c>
      <c r="C81">
        <v>1985</v>
      </c>
      <c r="D81">
        <v>2026</v>
      </c>
    </row>
    <row r="82" spans="1:4" x14ac:dyDescent="0.3">
      <c r="A82" t="s">
        <v>97</v>
      </c>
      <c r="B82">
        <v>1181</v>
      </c>
      <c r="C82">
        <v>1985</v>
      </c>
      <c r="D82">
        <v>2026</v>
      </c>
    </row>
    <row r="83" spans="1:4" x14ac:dyDescent="0.3">
      <c r="A83" t="s">
        <v>188</v>
      </c>
      <c r="B83">
        <v>1182</v>
      </c>
      <c r="C83">
        <v>1985</v>
      </c>
      <c r="D83">
        <v>2026</v>
      </c>
    </row>
    <row r="84" spans="1:4" x14ac:dyDescent="0.3">
      <c r="A84" t="s">
        <v>189</v>
      </c>
      <c r="B84">
        <v>1183</v>
      </c>
      <c r="C84">
        <v>1985</v>
      </c>
      <c r="D84">
        <v>2026</v>
      </c>
    </row>
    <row r="85" spans="1:4" x14ac:dyDescent="0.3">
      <c r="A85" t="s">
        <v>190</v>
      </c>
      <c r="B85">
        <v>1184</v>
      </c>
      <c r="C85">
        <v>1985</v>
      </c>
      <c r="D85">
        <v>2026</v>
      </c>
    </row>
    <row r="86" spans="1:4" x14ac:dyDescent="0.3">
      <c r="A86" t="s">
        <v>191</v>
      </c>
      <c r="B86">
        <v>1185</v>
      </c>
      <c r="C86">
        <v>1985</v>
      </c>
      <c r="D86">
        <v>2026</v>
      </c>
    </row>
    <row r="87" spans="1:4" x14ac:dyDescent="0.3">
      <c r="A87" t="s">
        <v>192</v>
      </c>
      <c r="B87">
        <v>1186</v>
      </c>
      <c r="C87">
        <v>1985</v>
      </c>
      <c r="D87">
        <v>2026</v>
      </c>
    </row>
    <row r="88" spans="1:4" x14ac:dyDescent="0.3">
      <c r="A88" t="s">
        <v>193</v>
      </c>
      <c r="B88">
        <v>1187</v>
      </c>
      <c r="C88">
        <v>1985</v>
      </c>
      <c r="D88">
        <v>2026</v>
      </c>
    </row>
    <row r="89" spans="1:4" x14ac:dyDescent="0.3">
      <c r="A89" t="s">
        <v>194</v>
      </c>
      <c r="B89">
        <v>1188</v>
      </c>
      <c r="C89">
        <v>2009</v>
      </c>
      <c r="D89">
        <v>2026</v>
      </c>
    </row>
    <row r="90" spans="1:4" x14ac:dyDescent="0.3">
      <c r="A90" t="s">
        <v>195</v>
      </c>
      <c r="B90">
        <v>1189</v>
      </c>
      <c r="C90">
        <v>2000</v>
      </c>
      <c r="D90">
        <v>2026</v>
      </c>
    </row>
    <row r="91" spans="1:4" x14ac:dyDescent="0.3">
      <c r="A91" t="s">
        <v>196</v>
      </c>
      <c r="B91">
        <v>1190</v>
      </c>
      <c r="C91">
        <v>1985</v>
      </c>
      <c r="D91">
        <v>2026</v>
      </c>
    </row>
    <row r="92" spans="1:4" x14ac:dyDescent="0.3">
      <c r="A92" t="s">
        <v>197</v>
      </c>
      <c r="B92">
        <v>1191</v>
      </c>
      <c r="C92">
        <v>1985</v>
      </c>
      <c r="D92">
        <v>2026</v>
      </c>
    </row>
    <row r="93" spans="1:4" x14ac:dyDescent="0.3">
      <c r="A93" t="s">
        <v>198</v>
      </c>
      <c r="B93">
        <v>1192</v>
      </c>
      <c r="C93">
        <v>1985</v>
      </c>
      <c r="D93">
        <v>2026</v>
      </c>
    </row>
    <row r="94" spans="1:4" x14ac:dyDescent="0.3">
      <c r="A94" t="s">
        <v>199</v>
      </c>
      <c r="B94">
        <v>1193</v>
      </c>
      <c r="C94">
        <v>1985</v>
      </c>
      <c r="D94">
        <v>2026</v>
      </c>
    </row>
    <row r="95" spans="1:4" x14ac:dyDescent="0.3">
      <c r="A95" t="s">
        <v>200</v>
      </c>
      <c r="B95">
        <v>1194</v>
      </c>
      <c r="C95">
        <v>1994</v>
      </c>
      <c r="D95">
        <v>2026</v>
      </c>
    </row>
    <row r="96" spans="1:4" x14ac:dyDescent="0.3">
      <c r="A96" t="s">
        <v>201</v>
      </c>
      <c r="B96">
        <v>1195</v>
      </c>
      <c r="C96">
        <v>2008</v>
      </c>
      <c r="D96">
        <v>2026</v>
      </c>
    </row>
    <row r="97" spans="1:4" x14ac:dyDescent="0.3">
      <c r="A97" t="s">
        <v>82</v>
      </c>
      <c r="B97">
        <v>1196</v>
      </c>
      <c r="C97">
        <v>1985</v>
      </c>
      <c r="D97">
        <v>2026</v>
      </c>
    </row>
    <row r="98" spans="1:4" x14ac:dyDescent="0.3">
      <c r="A98" t="s">
        <v>202</v>
      </c>
      <c r="B98">
        <v>1197</v>
      </c>
      <c r="C98">
        <v>1985</v>
      </c>
      <c r="D98">
        <v>2026</v>
      </c>
    </row>
    <row r="99" spans="1:4" x14ac:dyDescent="0.3">
      <c r="A99" t="s">
        <v>203</v>
      </c>
      <c r="B99">
        <v>1198</v>
      </c>
      <c r="C99">
        <v>1988</v>
      </c>
      <c r="D99">
        <v>2026</v>
      </c>
    </row>
    <row r="100" spans="1:4" x14ac:dyDescent="0.3">
      <c r="A100" t="s">
        <v>204</v>
      </c>
      <c r="B100">
        <v>1199</v>
      </c>
      <c r="C100">
        <v>1985</v>
      </c>
      <c r="D100">
        <v>2026</v>
      </c>
    </row>
    <row r="101" spans="1:4" x14ac:dyDescent="0.3">
      <c r="A101" t="s">
        <v>205</v>
      </c>
      <c r="B101">
        <v>1200</v>
      </c>
      <c r="C101">
        <v>1985</v>
      </c>
      <c r="D101">
        <v>2026</v>
      </c>
    </row>
    <row r="102" spans="1:4" x14ac:dyDescent="0.3">
      <c r="A102" t="s">
        <v>206</v>
      </c>
      <c r="B102">
        <v>1201</v>
      </c>
      <c r="C102">
        <v>1985</v>
      </c>
      <c r="D102">
        <v>2026</v>
      </c>
    </row>
    <row r="103" spans="1:4" x14ac:dyDescent="0.3">
      <c r="A103" t="s">
        <v>207</v>
      </c>
      <c r="B103">
        <v>1202</v>
      </c>
      <c r="C103">
        <v>1985</v>
      </c>
      <c r="D103">
        <v>2026</v>
      </c>
    </row>
    <row r="104" spans="1:4" x14ac:dyDescent="0.3">
      <c r="A104" t="s">
        <v>208</v>
      </c>
      <c r="B104">
        <v>1203</v>
      </c>
      <c r="C104">
        <v>1985</v>
      </c>
      <c r="D104">
        <v>2026</v>
      </c>
    </row>
    <row r="105" spans="1:4" x14ac:dyDescent="0.3">
      <c r="A105" t="s">
        <v>209</v>
      </c>
      <c r="B105">
        <v>1204</v>
      </c>
      <c r="C105">
        <v>1985</v>
      </c>
      <c r="D105">
        <v>2026</v>
      </c>
    </row>
    <row r="106" spans="1:4" x14ac:dyDescent="0.3">
      <c r="A106" t="s">
        <v>210</v>
      </c>
      <c r="B106">
        <v>1205</v>
      </c>
      <c r="C106">
        <v>2003</v>
      </c>
      <c r="D106">
        <v>2026</v>
      </c>
    </row>
    <row r="107" spans="1:4" x14ac:dyDescent="0.3">
      <c r="A107" t="s">
        <v>211</v>
      </c>
      <c r="B107">
        <v>1206</v>
      </c>
      <c r="C107">
        <v>1985</v>
      </c>
      <c r="D107">
        <v>2026</v>
      </c>
    </row>
    <row r="108" spans="1:4" x14ac:dyDescent="0.3">
      <c r="A108" t="s">
        <v>212</v>
      </c>
      <c r="B108">
        <v>1207</v>
      </c>
      <c r="C108">
        <v>1985</v>
      </c>
      <c r="D108">
        <v>2026</v>
      </c>
    </row>
    <row r="109" spans="1:4" x14ac:dyDescent="0.3">
      <c r="A109" t="s">
        <v>74</v>
      </c>
      <c r="B109">
        <v>1208</v>
      </c>
      <c r="C109">
        <v>1985</v>
      </c>
      <c r="D109">
        <v>2026</v>
      </c>
    </row>
    <row r="110" spans="1:4" x14ac:dyDescent="0.3">
      <c r="A110" t="s">
        <v>213</v>
      </c>
      <c r="B110">
        <v>1209</v>
      </c>
      <c r="C110">
        <v>1985</v>
      </c>
      <c r="D110">
        <v>2026</v>
      </c>
    </row>
    <row r="111" spans="1:4" x14ac:dyDescent="0.3">
      <c r="A111" t="s">
        <v>214</v>
      </c>
      <c r="B111">
        <v>1210</v>
      </c>
      <c r="C111">
        <v>1985</v>
      </c>
      <c r="D111">
        <v>2026</v>
      </c>
    </row>
    <row r="112" spans="1:4" x14ac:dyDescent="0.3">
      <c r="A112" t="s">
        <v>101</v>
      </c>
      <c r="B112">
        <v>1211</v>
      </c>
      <c r="C112">
        <v>1985</v>
      </c>
      <c r="D112">
        <v>2026</v>
      </c>
    </row>
    <row r="113" spans="1:4" x14ac:dyDescent="0.3">
      <c r="A113" t="s">
        <v>215</v>
      </c>
      <c r="B113">
        <v>1212</v>
      </c>
      <c r="C113">
        <v>1985</v>
      </c>
      <c r="D113">
        <v>2026</v>
      </c>
    </row>
    <row r="114" spans="1:4" x14ac:dyDescent="0.3">
      <c r="A114" t="s">
        <v>216</v>
      </c>
      <c r="B114">
        <v>1213</v>
      </c>
      <c r="C114">
        <v>2014</v>
      </c>
      <c r="D114">
        <v>2026</v>
      </c>
    </row>
    <row r="115" spans="1:4" x14ac:dyDescent="0.3">
      <c r="A115" t="s">
        <v>217</v>
      </c>
      <c r="B115">
        <v>1214</v>
      </c>
      <c r="C115">
        <v>1996</v>
      </c>
      <c r="D115">
        <v>2026</v>
      </c>
    </row>
    <row r="116" spans="1:4" x14ac:dyDescent="0.3">
      <c r="A116" t="s">
        <v>218</v>
      </c>
      <c r="B116">
        <v>1215</v>
      </c>
      <c r="C116">
        <v>1985</v>
      </c>
      <c r="D116">
        <v>1990</v>
      </c>
    </row>
    <row r="117" spans="1:4" x14ac:dyDescent="0.3">
      <c r="A117" t="s">
        <v>219</v>
      </c>
      <c r="B117">
        <v>1216</v>
      </c>
      <c r="C117">
        <v>1985</v>
      </c>
      <c r="D117">
        <v>2023</v>
      </c>
    </row>
    <row r="118" spans="1:4" x14ac:dyDescent="0.3">
      <c r="A118" t="s">
        <v>220</v>
      </c>
      <c r="B118">
        <v>1217</v>
      </c>
      <c r="C118">
        <v>1985</v>
      </c>
      <c r="D118">
        <v>2026</v>
      </c>
    </row>
    <row r="119" spans="1:4" x14ac:dyDescent="0.3">
      <c r="A119" t="s">
        <v>221</v>
      </c>
      <c r="B119">
        <v>1218</v>
      </c>
      <c r="C119">
        <v>1985</v>
      </c>
      <c r="D119">
        <v>2026</v>
      </c>
    </row>
    <row r="120" spans="1:4" x14ac:dyDescent="0.3">
      <c r="A120" t="s">
        <v>68</v>
      </c>
      <c r="B120">
        <v>1219</v>
      </c>
      <c r="C120">
        <v>2000</v>
      </c>
      <c r="D120">
        <v>2026</v>
      </c>
    </row>
    <row r="121" spans="1:4" x14ac:dyDescent="0.3">
      <c r="A121" t="s">
        <v>222</v>
      </c>
      <c r="B121">
        <v>1220</v>
      </c>
      <c r="C121">
        <v>1985</v>
      </c>
      <c r="D121">
        <v>2026</v>
      </c>
    </row>
    <row r="122" spans="1:4" x14ac:dyDescent="0.3">
      <c r="A122" t="s">
        <v>223</v>
      </c>
      <c r="B122">
        <v>1221</v>
      </c>
      <c r="C122">
        <v>1985</v>
      </c>
      <c r="D122">
        <v>2026</v>
      </c>
    </row>
    <row r="123" spans="1:4" x14ac:dyDescent="0.3">
      <c r="A123" t="s">
        <v>96</v>
      </c>
      <c r="B123">
        <v>1222</v>
      </c>
      <c r="C123">
        <v>1985</v>
      </c>
      <c r="D123">
        <v>2026</v>
      </c>
    </row>
    <row r="124" spans="1:4" x14ac:dyDescent="0.3">
      <c r="A124" t="s">
        <v>224</v>
      </c>
      <c r="B124">
        <v>1223</v>
      </c>
      <c r="C124">
        <v>1985</v>
      </c>
      <c r="D124">
        <v>2026</v>
      </c>
    </row>
    <row r="125" spans="1:4" x14ac:dyDescent="0.3">
      <c r="A125" t="s">
        <v>225</v>
      </c>
      <c r="B125">
        <v>1224</v>
      </c>
      <c r="C125">
        <v>1985</v>
      </c>
      <c r="D125">
        <v>2026</v>
      </c>
    </row>
    <row r="126" spans="1:4" x14ac:dyDescent="0.3">
      <c r="A126" t="s">
        <v>226</v>
      </c>
      <c r="B126">
        <v>1225</v>
      </c>
      <c r="C126">
        <v>1985</v>
      </c>
      <c r="D126">
        <v>2026</v>
      </c>
    </row>
    <row r="127" spans="1:4" x14ac:dyDescent="0.3">
      <c r="A127" t="s">
        <v>227</v>
      </c>
      <c r="B127">
        <v>1226</v>
      </c>
      <c r="C127">
        <v>1985</v>
      </c>
      <c r="D127">
        <v>2026</v>
      </c>
    </row>
    <row r="128" spans="1:4" x14ac:dyDescent="0.3">
      <c r="A128" t="s">
        <v>228</v>
      </c>
      <c r="B128">
        <v>1227</v>
      </c>
      <c r="C128">
        <v>1985</v>
      </c>
      <c r="D128">
        <v>2026</v>
      </c>
    </row>
    <row r="129" spans="1:4" x14ac:dyDescent="0.3">
      <c r="A129" t="s">
        <v>73</v>
      </c>
      <c r="B129">
        <v>1228</v>
      </c>
      <c r="C129">
        <v>1985</v>
      </c>
      <c r="D129">
        <v>2026</v>
      </c>
    </row>
    <row r="130" spans="1:4" x14ac:dyDescent="0.3">
      <c r="A130" t="s">
        <v>229</v>
      </c>
      <c r="B130">
        <v>1229</v>
      </c>
      <c r="C130">
        <v>1985</v>
      </c>
      <c r="D130">
        <v>2026</v>
      </c>
    </row>
    <row r="131" spans="1:4" x14ac:dyDescent="0.3">
      <c r="A131" t="s">
        <v>230</v>
      </c>
      <c r="B131">
        <v>1230</v>
      </c>
      <c r="C131">
        <v>2014</v>
      </c>
      <c r="D131">
        <v>2026</v>
      </c>
    </row>
    <row r="132" spans="1:4" x14ac:dyDescent="0.3">
      <c r="A132" t="s">
        <v>231</v>
      </c>
      <c r="B132">
        <v>1231</v>
      </c>
      <c r="C132">
        <v>1985</v>
      </c>
      <c r="D132">
        <v>2026</v>
      </c>
    </row>
    <row r="133" spans="1:4" x14ac:dyDescent="0.3">
      <c r="A133" t="s">
        <v>232</v>
      </c>
      <c r="B133">
        <v>1232</v>
      </c>
      <c r="C133">
        <v>1985</v>
      </c>
      <c r="D133">
        <v>2026</v>
      </c>
    </row>
    <row r="134" spans="1:4" x14ac:dyDescent="0.3">
      <c r="A134" t="s">
        <v>233</v>
      </c>
      <c r="B134">
        <v>1233</v>
      </c>
      <c r="C134">
        <v>1985</v>
      </c>
      <c r="D134">
        <v>2026</v>
      </c>
    </row>
    <row r="135" spans="1:4" x14ac:dyDescent="0.3">
      <c r="A135" t="s">
        <v>98</v>
      </c>
      <c r="B135">
        <v>1234</v>
      </c>
      <c r="C135">
        <v>1985</v>
      </c>
      <c r="D135">
        <v>2026</v>
      </c>
    </row>
    <row r="136" spans="1:4" x14ac:dyDescent="0.3">
      <c r="A136" t="s">
        <v>234</v>
      </c>
      <c r="B136">
        <v>1235</v>
      </c>
      <c r="C136">
        <v>1985</v>
      </c>
      <c r="D136">
        <v>2026</v>
      </c>
    </row>
    <row r="137" spans="1:4" x14ac:dyDescent="0.3">
      <c r="A137" t="s">
        <v>235</v>
      </c>
      <c r="B137">
        <v>1236</v>
      </c>
      <c r="C137">
        <v>2003</v>
      </c>
      <c r="D137">
        <v>2026</v>
      </c>
    </row>
    <row r="138" spans="1:4" x14ac:dyDescent="0.3">
      <c r="A138" t="s">
        <v>236</v>
      </c>
      <c r="B138">
        <v>1237</v>
      </c>
      <c r="C138">
        <v>1999</v>
      </c>
      <c r="D138">
        <v>2026</v>
      </c>
    </row>
    <row r="139" spans="1:4" x14ac:dyDescent="0.3">
      <c r="A139" t="s">
        <v>237</v>
      </c>
      <c r="B139">
        <v>1238</v>
      </c>
      <c r="C139">
        <v>1985</v>
      </c>
      <c r="D139">
        <v>2026</v>
      </c>
    </row>
    <row r="140" spans="1:4" x14ac:dyDescent="0.3">
      <c r="A140" t="s">
        <v>238</v>
      </c>
      <c r="B140">
        <v>1239</v>
      </c>
      <c r="C140">
        <v>1985</v>
      </c>
      <c r="D140">
        <v>2026</v>
      </c>
    </row>
    <row r="141" spans="1:4" x14ac:dyDescent="0.3">
      <c r="A141" t="s">
        <v>239</v>
      </c>
      <c r="B141">
        <v>1240</v>
      </c>
      <c r="C141">
        <v>1996</v>
      </c>
      <c r="D141">
        <v>2026</v>
      </c>
    </row>
    <row r="142" spans="1:4" x14ac:dyDescent="0.3">
      <c r="A142" t="s">
        <v>240</v>
      </c>
      <c r="B142">
        <v>1241</v>
      </c>
      <c r="C142">
        <v>1985</v>
      </c>
      <c r="D142">
        <v>2026</v>
      </c>
    </row>
    <row r="143" spans="1:4" x14ac:dyDescent="0.3">
      <c r="A143" t="s">
        <v>70</v>
      </c>
      <c r="B143">
        <v>1242</v>
      </c>
      <c r="C143">
        <v>1985</v>
      </c>
      <c r="D143">
        <v>2026</v>
      </c>
    </row>
    <row r="144" spans="1:4" x14ac:dyDescent="0.3">
      <c r="A144" t="s">
        <v>241</v>
      </c>
      <c r="B144">
        <v>1243</v>
      </c>
      <c r="C144">
        <v>1985</v>
      </c>
      <c r="D144">
        <v>2026</v>
      </c>
    </row>
    <row r="145" spans="1:4" x14ac:dyDescent="0.3">
      <c r="A145" t="s">
        <v>242</v>
      </c>
      <c r="B145">
        <v>1244</v>
      </c>
      <c r="C145">
        <v>2006</v>
      </c>
      <c r="D145">
        <v>2026</v>
      </c>
    </row>
    <row r="146" spans="1:4" x14ac:dyDescent="0.3">
      <c r="A146" t="s">
        <v>243</v>
      </c>
      <c r="B146">
        <v>1245</v>
      </c>
      <c r="C146">
        <v>1985</v>
      </c>
      <c r="D146">
        <v>2026</v>
      </c>
    </row>
    <row r="147" spans="1:4" x14ac:dyDescent="0.3">
      <c r="A147" t="s">
        <v>69</v>
      </c>
      <c r="B147">
        <v>1246</v>
      </c>
      <c r="C147">
        <v>1985</v>
      </c>
      <c r="D147">
        <v>2026</v>
      </c>
    </row>
    <row r="148" spans="1:4" x14ac:dyDescent="0.3">
      <c r="A148" t="s">
        <v>244</v>
      </c>
      <c r="B148">
        <v>1247</v>
      </c>
      <c r="C148">
        <v>1985</v>
      </c>
      <c r="D148">
        <v>2026</v>
      </c>
    </row>
    <row r="149" spans="1:4" x14ac:dyDescent="0.3">
      <c r="A149" t="s">
        <v>245</v>
      </c>
      <c r="B149">
        <v>1248</v>
      </c>
      <c r="C149">
        <v>1985</v>
      </c>
      <c r="D149">
        <v>2026</v>
      </c>
    </row>
    <row r="150" spans="1:4" x14ac:dyDescent="0.3">
      <c r="A150" t="s">
        <v>246</v>
      </c>
      <c r="B150">
        <v>1249</v>
      </c>
      <c r="C150">
        <v>1985</v>
      </c>
      <c r="D150">
        <v>2026</v>
      </c>
    </row>
    <row r="151" spans="1:4" x14ac:dyDescent="0.3">
      <c r="A151" t="s">
        <v>247</v>
      </c>
      <c r="B151">
        <v>1250</v>
      </c>
      <c r="C151">
        <v>1985</v>
      </c>
      <c r="D151">
        <v>2026</v>
      </c>
    </row>
    <row r="152" spans="1:4" x14ac:dyDescent="0.3">
      <c r="A152" t="s">
        <v>88</v>
      </c>
      <c r="B152">
        <v>1251</v>
      </c>
      <c r="C152">
        <v>1989</v>
      </c>
      <c r="D152">
        <v>2026</v>
      </c>
    </row>
    <row r="153" spans="1:4" x14ac:dyDescent="0.3">
      <c r="A153" t="s">
        <v>248</v>
      </c>
      <c r="B153">
        <v>1252</v>
      </c>
      <c r="C153">
        <v>2003</v>
      </c>
      <c r="D153">
        <v>2026</v>
      </c>
    </row>
    <row r="154" spans="1:4" x14ac:dyDescent="0.3">
      <c r="A154" t="s">
        <v>249</v>
      </c>
      <c r="B154">
        <v>1253</v>
      </c>
      <c r="C154">
        <v>1985</v>
      </c>
      <c r="D154">
        <v>2026</v>
      </c>
    </row>
    <row r="155" spans="1:4" x14ac:dyDescent="0.3">
      <c r="A155" t="s">
        <v>250</v>
      </c>
      <c r="B155">
        <v>1254</v>
      </c>
      <c r="C155">
        <v>1985</v>
      </c>
      <c r="D155">
        <v>2026</v>
      </c>
    </row>
    <row r="156" spans="1:4" x14ac:dyDescent="0.3">
      <c r="A156" t="s">
        <v>251</v>
      </c>
      <c r="B156">
        <v>1255</v>
      </c>
      <c r="C156">
        <v>2005</v>
      </c>
      <c r="D156">
        <v>2026</v>
      </c>
    </row>
    <row r="157" spans="1:4" x14ac:dyDescent="0.3">
      <c r="A157" t="s">
        <v>252</v>
      </c>
      <c r="B157">
        <v>1256</v>
      </c>
      <c r="C157">
        <v>1985</v>
      </c>
      <c r="D157">
        <v>2026</v>
      </c>
    </row>
    <row r="158" spans="1:4" x14ac:dyDescent="0.3">
      <c r="A158" t="s">
        <v>103</v>
      </c>
      <c r="B158">
        <v>1257</v>
      </c>
      <c r="C158">
        <v>1985</v>
      </c>
      <c r="D158">
        <v>2026</v>
      </c>
    </row>
    <row r="159" spans="1:4" x14ac:dyDescent="0.3">
      <c r="A159" t="s">
        <v>253</v>
      </c>
      <c r="B159">
        <v>1258</v>
      </c>
      <c r="C159">
        <v>1985</v>
      </c>
      <c r="D159">
        <v>2026</v>
      </c>
    </row>
    <row r="160" spans="1:4" x14ac:dyDescent="0.3">
      <c r="A160" t="s">
        <v>254</v>
      </c>
      <c r="B160">
        <v>1259</v>
      </c>
      <c r="C160">
        <v>1985</v>
      </c>
      <c r="D160">
        <v>2026</v>
      </c>
    </row>
    <row r="161" spans="1:4" x14ac:dyDescent="0.3">
      <c r="A161" t="s">
        <v>255</v>
      </c>
      <c r="B161">
        <v>1260</v>
      </c>
      <c r="C161">
        <v>1985</v>
      </c>
      <c r="D161">
        <v>2026</v>
      </c>
    </row>
    <row r="162" spans="1:4" x14ac:dyDescent="0.3">
      <c r="A162" t="s">
        <v>256</v>
      </c>
      <c r="B162">
        <v>1261</v>
      </c>
      <c r="C162">
        <v>1985</v>
      </c>
      <c r="D162">
        <v>2026</v>
      </c>
    </row>
    <row r="163" spans="1:4" x14ac:dyDescent="0.3">
      <c r="A163" t="s">
        <v>257</v>
      </c>
      <c r="B163">
        <v>1262</v>
      </c>
      <c r="C163">
        <v>2014</v>
      </c>
      <c r="D163">
        <v>2026</v>
      </c>
    </row>
    <row r="164" spans="1:4" x14ac:dyDescent="0.3">
      <c r="A164" t="s">
        <v>258</v>
      </c>
      <c r="B164">
        <v>1263</v>
      </c>
      <c r="C164">
        <v>1985</v>
      </c>
      <c r="D164">
        <v>2026</v>
      </c>
    </row>
    <row r="165" spans="1:4" x14ac:dyDescent="0.3">
      <c r="A165" t="s">
        <v>259</v>
      </c>
      <c r="B165">
        <v>1264</v>
      </c>
      <c r="C165">
        <v>1985</v>
      </c>
      <c r="D165">
        <v>2026</v>
      </c>
    </row>
    <row r="166" spans="1:4" x14ac:dyDescent="0.3">
      <c r="A166" t="s">
        <v>260</v>
      </c>
      <c r="B166">
        <v>1265</v>
      </c>
      <c r="C166">
        <v>1985</v>
      </c>
      <c r="D166">
        <v>2026</v>
      </c>
    </row>
    <row r="167" spans="1:4" x14ac:dyDescent="0.3">
      <c r="A167" t="s">
        <v>261</v>
      </c>
      <c r="B167">
        <v>1266</v>
      </c>
      <c r="C167">
        <v>1985</v>
      </c>
      <c r="D167">
        <v>2026</v>
      </c>
    </row>
    <row r="168" spans="1:4" x14ac:dyDescent="0.3">
      <c r="A168" t="s">
        <v>262</v>
      </c>
      <c r="B168">
        <v>1267</v>
      </c>
      <c r="C168">
        <v>1985</v>
      </c>
      <c r="D168">
        <v>2026</v>
      </c>
    </row>
    <row r="169" spans="1:4" x14ac:dyDescent="0.3">
      <c r="A169" t="s">
        <v>263</v>
      </c>
      <c r="B169">
        <v>1268</v>
      </c>
      <c r="C169">
        <v>1985</v>
      </c>
      <c r="D169">
        <v>2026</v>
      </c>
    </row>
    <row r="170" spans="1:4" x14ac:dyDescent="0.3">
      <c r="A170" t="s">
        <v>264</v>
      </c>
      <c r="B170">
        <v>1269</v>
      </c>
      <c r="C170">
        <v>1985</v>
      </c>
      <c r="D170">
        <v>2026</v>
      </c>
    </row>
    <row r="171" spans="1:4" x14ac:dyDescent="0.3">
      <c r="A171" t="s">
        <v>265</v>
      </c>
      <c r="B171">
        <v>1270</v>
      </c>
      <c r="C171">
        <v>1985</v>
      </c>
      <c r="D171">
        <v>2026</v>
      </c>
    </row>
    <row r="172" spans="1:4" x14ac:dyDescent="0.3">
      <c r="A172" t="s">
        <v>266</v>
      </c>
      <c r="B172">
        <v>1271</v>
      </c>
      <c r="C172">
        <v>1985</v>
      </c>
      <c r="D172">
        <v>2026</v>
      </c>
    </row>
    <row r="173" spans="1:4" x14ac:dyDescent="0.3">
      <c r="A173" t="s">
        <v>267</v>
      </c>
      <c r="B173">
        <v>1272</v>
      </c>
      <c r="C173">
        <v>1985</v>
      </c>
      <c r="D173">
        <v>2026</v>
      </c>
    </row>
    <row r="174" spans="1:4" x14ac:dyDescent="0.3">
      <c r="A174" t="s">
        <v>268</v>
      </c>
      <c r="B174">
        <v>1273</v>
      </c>
      <c r="C174">
        <v>1985</v>
      </c>
      <c r="D174">
        <v>2026</v>
      </c>
    </row>
    <row r="175" spans="1:4" x14ac:dyDescent="0.3">
      <c r="A175" t="s">
        <v>269</v>
      </c>
      <c r="B175">
        <v>1274</v>
      </c>
      <c r="C175">
        <v>1986</v>
      </c>
      <c r="D175">
        <v>2026</v>
      </c>
    </row>
    <row r="176" spans="1:4" x14ac:dyDescent="0.3">
      <c r="A176" t="s">
        <v>270</v>
      </c>
      <c r="B176">
        <v>1275</v>
      </c>
      <c r="C176">
        <v>1985</v>
      </c>
      <c r="D176">
        <v>2026</v>
      </c>
    </row>
    <row r="177" spans="1:4" x14ac:dyDescent="0.3">
      <c r="A177" t="s">
        <v>84</v>
      </c>
      <c r="B177">
        <v>1276</v>
      </c>
      <c r="C177">
        <v>1985</v>
      </c>
      <c r="D177">
        <v>2026</v>
      </c>
    </row>
    <row r="178" spans="1:4" x14ac:dyDescent="0.3">
      <c r="A178" t="s">
        <v>271</v>
      </c>
      <c r="B178">
        <v>1277</v>
      </c>
      <c r="C178">
        <v>1985</v>
      </c>
      <c r="D178">
        <v>2026</v>
      </c>
    </row>
    <row r="179" spans="1:4" x14ac:dyDescent="0.3">
      <c r="A179" t="s">
        <v>272</v>
      </c>
      <c r="B179">
        <v>1278</v>
      </c>
      <c r="C179">
        <v>1985</v>
      </c>
      <c r="D179">
        <v>2026</v>
      </c>
    </row>
    <row r="180" spans="1:4" x14ac:dyDescent="0.3">
      <c r="A180" t="s">
        <v>273</v>
      </c>
      <c r="B180">
        <v>1279</v>
      </c>
      <c r="C180">
        <v>1985</v>
      </c>
      <c r="D180">
        <v>2026</v>
      </c>
    </row>
    <row r="181" spans="1:4" x14ac:dyDescent="0.3">
      <c r="A181" t="s">
        <v>274</v>
      </c>
      <c r="B181">
        <v>1280</v>
      </c>
      <c r="C181">
        <v>1985</v>
      </c>
      <c r="D181">
        <v>2026</v>
      </c>
    </row>
    <row r="182" spans="1:4" x14ac:dyDescent="0.3">
      <c r="A182" t="s">
        <v>65</v>
      </c>
      <c r="B182">
        <v>1281</v>
      </c>
      <c r="C182">
        <v>1985</v>
      </c>
      <c r="D182">
        <v>2026</v>
      </c>
    </row>
    <row r="183" spans="1:4" x14ac:dyDescent="0.3">
      <c r="A183" t="s">
        <v>275</v>
      </c>
      <c r="B183">
        <v>1282</v>
      </c>
      <c r="C183">
        <v>1990</v>
      </c>
      <c r="D183">
        <v>2026</v>
      </c>
    </row>
    <row r="184" spans="1:4" x14ac:dyDescent="0.3">
      <c r="A184" t="s">
        <v>276</v>
      </c>
      <c r="B184">
        <v>1283</v>
      </c>
      <c r="C184">
        <v>1985</v>
      </c>
      <c r="D184">
        <v>2026</v>
      </c>
    </row>
    <row r="185" spans="1:4" x14ac:dyDescent="0.3">
      <c r="A185" t="s">
        <v>277</v>
      </c>
      <c r="B185">
        <v>1284</v>
      </c>
      <c r="C185">
        <v>1985</v>
      </c>
      <c r="D185">
        <v>2026</v>
      </c>
    </row>
    <row r="186" spans="1:4" x14ac:dyDescent="0.3">
      <c r="A186" t="s">
        <v>278</v>
      </c>
      <c r="B186">
        <v>1285</v>
      </c>
      <c r="C186">
        <v>1985</v>
      </c>
      <c r="D186">
        <v>2026</v>
      </c>
    </row>
    <row r="187" spans="1:4" x14ac:dyDescent="0.3">
      <c r="A187" t="s">
        <v>279</v>
      </c>
      <c r="B187">
        <v>1286</v>
      </c>
      <c r="C187">
        <v>1985</v>
      </c>
      <c r="D187">
        <v>2026</v>
      </c>
    </row>
    <row r="188" spans="1:4" x14ac:dyDescent="0.3">
      <c r="A188" t="s">
        <v>280</v>
      </c>
      <c r="B188">
        <v>1287</v>
      </c>
      <c r="C188">
        <v>1985</v>
      </c>
      <c r="D188">
        <v>2026</v>
      </c>
    </row>
    <row r="189" spans="1:4" x14ac:dyDescent="0.3">
      <c r="A189" t="s">
        <v>281</v>
      </c>
      <c r="B189">
        <v>1288</v>
      </c>
      <c r="C189">
        <v>1985</v>
      </c>
      <c r="D189">
        <v>2026</v>
      </c>
    </row>
    <row r="190" spans="1:4" x14ac:dyDescent="0.3">
      <c r="A190" t="s">
        <v>282</v>
      </c>
      <c r="B190">
        <v>1289</v>
      </c>
      <c r="C190">
        <v>2002</v>
      </c>
      <c r="D190">
        <v>2003</v>
      </c>
    </row>
    <row r="191" spans="1:4" x14ac:dyDescent="0.3">
      <c r="A191" t="s">
        <v>283</v>
      </c>
      <c r="B191">
        <v>1290</v>
      </c>
      <c r="C191">
        <v>1985</v>
      </c>
      <c r="D191">
        <v>2026</v>
      </c>
    </row>
    <row r="192" spans="1:4" x14ac:dyDescent="0.3">
      <c r="A192" t="s">
        <v>284</v>
      </c>
      <c r="B192">
        <v>1291</v>
      </c>
      <c r="C192">
        <v>1989</v>
      </c>
      <c r="D192">
        <v>2026</v>
      </c>
    </row>
    <row r="193" spans="1:4" x14ac:dyDescent="0.3">
      <c r="A193" t="s">
        <v>285</v>
      </c>
      <c r="B193">
        <v>1292</v>
      </c>
      <c r="C193">
        <v>1985</v>
      </c>
      <c r="D193">
        <v>2026</v>
      </c>
    </row>
    <row r="194" spans="1:4" x14ac:dyDescent="0.3">
      <c r="A194" t="s">
        <v>286</v>
      </c>
      <c r="B194">
        <v>1293</v>
      </c>
      <c r="C194">
        <v>1985</v>
      </c>
      <c r="D194">
        <v>2026</v>
      </c>
    </row>
    <row r="195" spans="1:4" x14ac:dyDescent="0.3">
      <c r="A195" t="s">
        <v>287</v>
      </c>
      <c r="B195">
        <v>1294</v>
      </c>
      <c r="C195">
        <v>2005</v>
      </c>
      <c r="D195">
        <v>2026</v>
      </c>
    </row>
    <row r="196" spans="1:4" x14ac:dyDescent="0.3">
      <c r="A196" t="s">
        <v>288</v>
      </c>
      <c r="B196">
        <v>1295</v>
      </c>
      <c r="C196">
        <v>2006</v>
      </c>
      <c r="D196">
        <v>2026</v>
      </c>
    </row>
    <row r="197" spans="1:4" x14ac:dyDescent="0.3">
      <c r="A197" t="s">
        <v>289</v>
      </c>
      <c r="B197">
        <v>1296</v>
      </c>
      <c r="C197">
        <v>1985</v>
      </c>
      <c r="D197">
        <v>2026</v>
      </c>
    </row>
    <row r="198" spans="1:4" x14ac:dyDescent="0.3">
      <c r="A198" t="s">
        <v>290</v>
      </c>
      <c r="B198">
        <v>1297</v>
      </c>
      <c r="C198">
        <v>2013</v>
      </c>
      <c r="D198">
        <v>2026</v>
      </c>
    </row>
    <row r="199" spans="1:4" x14ac:dyDescent="0.3">
      <c r="A199" t="s">
        <v>71</v>
      </c>
      <c r="B199">
        <v>1298</v>
      </c>
      <c r="C199">
        <v>1985</v>
      </c>
      <c r="D199">
        <v>2026</v>
      </c>
    </row>
    <row r="200" spans="1:4" x14ac:dyDescent="0.3">
      <c r="A200" t="s">
        <v>291</v>
      </c>
      <c r="B200">
        <v>1299</v>
      </c>
      <c r="C200">
        <v>1985</v>
      </c>
      <c r="D200">
        <v>2026</v>
      </c>
    </row>
    <row r="201" spans="1:4" x14ac:dyDescent="0.3">
      <c r="A201" t="s">
        <v>292</v>
      </c>
      <c r="B201">
        <v>1300</v>
      </c>
      <c r="C201">
        <v>2008</v>
      </c>
      <c r="D201">
        <v>2026</v>
      </c>
    </row>
    <row r="202" spans="1:4" x14ac:dyDescent="0.3">
      <c r="A202" t="s">
        <v>86</v>
      </c>
      <c r="B202">
        <v>1301</v>
      </c>
      <c r="C202">
        <v>1985</v>
      </c>
      <c r="D202">
        <v>2026</v>
      </c>
    </row>
    <row r="203" spans="1:4" x14ac:dyDescent="0.3">
      <c r="A203" t="s">
        <v>293</v>
      </c>
      <c r="B203">
        <v>1302</v>
      </c>
      <c r="C203">
        <v>1991</v>
      </c>
      <c r="D203">
        <v>1998</v>
      </c>
    </row>
    <row r="204" spans="1:4" x14ac:dyDescent="0.3">
      <c r="A204" t="s">
        <v>294</v>
      </c>
      <c r="B204">
        <v>1303</v>
      </c>
      <c r="C204">
        <v>2012</v>
      </c>
      <c r="D204">
        <v>2026</v>
      </c>
    </row>
    <row r="205" spans="1:4" x14ac:dyDescent="0.3">
      <c r="A205" t="s">
        <v>92</v>
      </c>
      <c r="B205">
        <v>1304</v>
      </c>
      <c r="C205">
        <v>1985</v>
      </c>
      <c r="D205">
        <v>2026</v>
      </c>
    </row>
    <row r="206" spans="1:4" x14ac:dyDescent="0.3">
      <c r="A206" t="s">
        <v>295</v>
      </c>
      <c r="B206">
        <v>1305</v>
      </c>
      <c r="C206">
        <v>1985</v>
      </c>
      <c r="D206">
        <v>2026</v>
      </c>
    </row>
    <row r="207" spans="1:4" x14ac:dyDescent="0.3">
      <c r="A207" t="s">
        <v>296</v>
      </c>
      <c r="B207">
        <v>1306</v>
      </c>
      <c r="C207">
        <v>1985</v>
      </c>
      <c r="D207">
        <v>2026</v>
      </c>
    </row>
    <row r="208" spans="1:4" x14ac:dyDescent="0.3">
      <c r="A208" t="s">
        <v>297</v>
      </c>
      <c r="B208">
        <v>1307</v>
      </c>
      <c r="C208">
        <v>1985</v>
      </c>
      <c r="D208">
        <v>2026</v>
      </c>
    </row>
    <row r="209" spans="1:4" x14ac:dyDescent="0.3">
      <c r="A209" t="s">
        <v>298</v>
      </c>
      <c r="B209">
        <v>1308</v>
      </c>
      <c r="C209">
        <v>1985</v>
      </c>
      <c r="D209">
        <v>2026</v>
      </c>
    </row>
    <row r="210" spans="1:4" x14ac:dyDescent="0.3">
      <c r="A210" t="s">
        <v>299</v>
      </c>
      <c r="B210">
        <v>1309</v>
      </c>
      <c r="C210">
        <v>1985</v>
      </c>
      <c r="D210">
        <v>2026</v>
      </c>
    </row>
    <row r="211" spans="1:4" x14ac:dyDescent="0.3">
      <c r="A211" t="s">
        <v>300</v>
      </c>
      <c r="B211">
        <v>1310</v>
      </c>
      <c r="C211">
        <v>1985</v>
      </c>
      <c r="D211">
        <v>2026</v>
      </c>
    </row>
    <row r="212" spans="1:4" x14ac:dyDescent="0.3">
      <c r="A212" t="s">
        <v>301</v>
      </c>
      <c r="B212">
        <v>1311</v>
      </c>
      <c r="C212">
        <v>1985</v>
      </c>
      <c r="D212">
        <v>2026</v>
      </c>
    </row>
    <row r="213" spans="1:4" x14ac:dyDescent="0.3">
      <c r="A213" t="s">
        <v>302</v>
      </c>
      <c r="B213">
        <v>1312</v>
      </c>
      <c r="C213">
        <v>2007</v>
      </c>
      <c r="D213">
        <v>2026</v>
      </c>
    </row>
    <row r="214" spans="1:4" x14ac:dyDescent="0.3">
      <c r="A214" t="s">
        <v>303</v>
      </c>
      <c r="B214">
        <v>1313</v>
      </c>
      <c r="C214">
        <v>1998</v>
      </c>
      <c r="D214">
        <v>2026</v>
      </c>
    </row>
    <row r="215" spans="1:4" x14ac:dyDescent="0.3">
      <c r="A215" t="s">
        <v>91</v>
      </c>
      <c r="B215">
        <v>1314</v>
      </c>
      <c r="C215">
        <v>1985</v>
      </c>
      <c r="D215">
        <v>2026</v>
      </c>
    </row>
    <row r="216" spans="1:4" x14ac:dyDescent="0.3">
      <c r="A216" t="s">
        <v>304</v>
      </c>
      <c r="B216">
        <v>1315</v>
      </c>
      <c r="C216">
        <v>2009</v>
      </c>
      <c r="D216">
        <v>2026</v>
      </c>
    </row>
    <row r="217" spans="1:4" x14ac:dyDescent="0.3">
      <c r="A217" t="s">
        <v>305</v>
      </c>
      <c r="B217">
        <v>1316</v>
      </c>
      <c r="C217">
        <v>2006</v>
      </c>
      <c r="D217">
        <v>2026</v>
      </c>
    </row>
    <row r="218" spans="1:4" x14ac:dyDescent="0.3">
      <c r="A218" t="s">
        <v>306</v>
      </c>
      <c r="B218">
        <v>1317</v>
      </c>
      <c r="C218">
        <v>1985</v>
      </c>
      <c r="D218">
        <v>2026</v>
      </c>
    </row>
    <row r="219" spans="1:4" x14ac:dyDescent="0.3">
      <c r="A219" t="s">
        <v>307</v>
      </c>
      <c r="B219">
        <v>1318</v>
      </c>
      <c r="C219">
        <v>1985</v>
      </c>
      <c r="D219">
        <v>2026</v>
      </c>
    </row>
    <row r="220" spans="1:4" x14ac:dyDescent="0.3">
      <c r="A220" t="s">
        <v>308</v>
      </c>
      <c r="B220">
        <v>1319</v>
      </c>
      <c r="C220">
        <v>1985</v>
      </c>
      <c r="D220">
        <v>2026</v>
      </c>
    </row>
    <row r="221" spans="1:4" x14ac:dyDescent="0.3">
      <c r="A221" t="s">
        <v>309</v>
      </c>
      <c r="B221">
        <v>1320</v>
      </c>
      <c r="C221">
        <v>1985</v>
      </c>
      <c r="D221">
        <v>2026</v>
      </c>
    </row>
    <row r="222" spans="1:4" x14ac:dyDescent="0.3">
      <c r="A222" t="s">
        <v>310</v>
      </c>
      <c r="B222">
        <v>1321</v>
      </c>
      <c r="C222">
        <v>1985</v>
      </c>
      <c r="D222">
        <v>2026</v>
      </c>
    </row>
    <row r="223" spans="1:4" x14ac:dyDescent="0.3">
      <c r="A223" t="s">
        <v>311</v>
      </c>
      <c r="B223">
        <v>1322</v>
      </c>
      <c r="C223">
        <v>1985</v>
      </c>
      <c r="D223">
        <v>2026</v>
      </c>
    </row>
    <row r="224" spans="1:4" x14ac:dyDescent="0.3">
      <c r="A224" t="s">
        <v>312</v>
      </c>
      <c r="B224">
        <v>1323</v>
      </c>
      <c r="C224">
        <v>1985</v>
      </c>
      <c r="D224">
        <v>2026</v>
      </c>
    </row>
    <row r="225" spans="1:4" x14ac:dyDescent="0.3">
      <c r="A225" t="s">
        <v>313</v>
      </c>
      <c r="B225">
        <v>1324</v>
      </c>
      <c r="C225">
        <v>2000</v>
      </c>
      <c r="D225">
        <v>2026</v>
      </c>
    </row>
    <row r="226" spans="1:4" x14ac:dyDescent="0.3">
      <c r="A226" t="s">
        <v>314</v>
      </c>
      <c r="B226">
        <v>1325</v>
      </c>
      <c r="C226">
        <v>1985</v>
      </c>
      <c r="D226">
        <v>2026</v>
      </c>
    </row>
    <row r="227" spans="1:4" x14ac:dyDescent="0.3">
      <c r="A227" t="s">
        <v>315</v>
      </c>
      <c r="B227">
        <v>1326</v>
      </c>
      <c r="C227">
        <v>1985</v>
      </c>
      <c r="D227">
        <v>2026</v>
      </c>
    </row>
    <row r="228" spans="1:4" x14ac:dyDescent="0.3">
      <c r="A228" t="s">
        <v>316</v>
      </c>
      <c r="B228">
        <v>1327</v>
      </c>
      <c r="C228">
        <v>1985</v>
      </c>
      <c r="D228">
        <v>1985</v>
      </c>
    </row>
    <row r="229" spans="1:4" x14ac:dyDescent="0.3">
      <c r="A229" t="s">
        <v>317</v>
      </c>
      <c r="B229">
        <v>1328</v>
      </c>
      <c r="C229">
        <v>1985</v>
      </c>
      <c r="D229">
        <v>2026</v>
      </c>
    </row>
    <row r="230" spans="1:4" x14ac:dyDescent="0.3">
      <c r="A230" t="s">
        <v>318</v>
      </c>
      <c r="B230">
        <v>1329</v>
      </c>
      <c r="C230">
        <v>1985</v>
      </c>
      <c r="D230">
        <v>2026</v>
      </c>
    </row>
    <row r="231" spans="1:4" x14ac:dyDescent="0.3">
      <c r="A231" t="s">
        <v>319</v>
      </c>
      <c r="B231">
        <v>1330</v>
      </c>
      <c r="C231">
        <v>1985</v>
      </c>
      <c r="D231">
        <v>2026</v>
      </c>
    </row>
    <row r="232" spans="1:4" x14ac:dyDescent="0.3">
      <c r="A232" t="s">
        <v>320</v>
      </c>
      <c r="B232">
        <v>1331</v>
      </c>
      <c r="C232">
        <v>1985</v>
      </c>
      <c r="D232">
        <v>2026</v>
      </c>
    </row>
    <row r="233" spans="1:4" x14ac:dyDescent="0.3">
      <c r="A233" t="s">
        <v>321</v>
      </c>
      <c r="B233">
        <v>1332</v>
      </c>
      <c r="C233">
        <v>1985</v>
      </c>
      <c r="D233">
        <v>2026</v>
      </c>
    </row>
    <row r="234" spans="1:4" x14ac:dyDescent="0.3">
      <c r="A234" t="s">
        <v>322</v>
      </c>
      <c r="B234">
        <v>1333</v>
      </c>
      <c r="C234">
        <v>1985</v>
      </c>
      <c r="D234">
        <v>2026</v>
      </c>
    </row>
    <row r="235" spans="1:4" x14ac:dyDescent="0.3">
      <c r="A235" t="s">
        <v>323</v>
      </c>
      <c r="B235">
        <v>1334</v>
      </c>
      <c r="C235">
        <v>1985</v>
      </c>
      <c r="D235">
        <v>2026</v>
      </c>
    </row>
    <row r="236" spans="1:4" x14ac:dyDescent="0.3">
      <c r="A236" t="s">
        <v>324</v>
      </c>
      <c r="B236">
        <v>1335</v>
      </c>
      <c r="C236">
        <v>1985</v>
      </c>
      <c r="D236">
        <v>2026</v>
      </c>
    </row>
    <row r="237" spans="1:4" x14ac:dyDescent="0.3">
      <c r="A237" t="s">
        <v>325</v>
      </c>
      <c r="B237">
        <v>1336</v>
      </c>
      <c r="C237">
        <v>1985</v>
      </c>
      <c r="D237">
        <v>2026</v>
      </c>
    </row>
    <row r="238" spans="1:4" x14ac:dyDescent="0.3">
      <c r="A238" t="s">
        <v>326</v>
      </c>
      <c r="B238">
        <v>1337</v>
      </c>
      <c r="C238">
        <v>1985</v>
      </c>
      <c r="D238">
        <v>2026</v>
      </c>
    </row>
    <row r="239" spans="1:4" x14ac:dyDescent="0.3">
      <c r="A239" t="s">
        <v>327</v>
      </c>
      <c r="B239">
        <v>1338</v>
      </c>
      <c r="C239">
        <v>1985</v>
      </c>
      <c r="D239">
        <v>2026</v>
      </c>
    </row>
    <row r="240" spans="1:4" x14ac:dyDescent="0.3">
      <c r="A240" t="s">
        <v>328</v>
      </c>
      <c r="B240">
        <v>1339</v>
      </c>
      <c r="C240">
        <v>1985</v>
      </c>
      <c r="D240">
        <v>2026</v>
      </c>
    </row>
    <row r="241" spans="1:4" x14ac:dyDescent="0.3">
      <c r="A241" t="s">
        <v>329</v>
      </c>
      <c r="B241">
        <v>1340</v>
      </c>
      <c r="C241">
        <v>1999</v>
      </c>
      <c r="D241">
        <v>2026</v>
      </c>
    </row>
    <row r="242" spans="1:4" x14ac:dyDescent="0.3">
      <c r="A242" t="s">
        <v>330</v>
      </c>
      <c r="B242">
        <v>1341</v>
      </c>
      <c r="C242">
        <v>1985</v>
      </c>
      <c r="D242">
        <v>2026</v>
      </c>
    </row>
    <row r="243" spans="1:4" x14ac:dyDescent="0.3">
      <c r="A243" t="s">
        <v>331</v>
      </c>
      <c r="B243">
        <v>1342</v>
      </c>
      <c r="C243">
        <v>2008</v>
      </c>
      <c r="D243">
        <v>2026</v>
      </c>
    </row>
    <row r="244" spans="1:4" x14ac:dyDescent="0.3">
      <c r="A244" t="s">
        <v>332</v>
      </c>
      <c r="B244">
        <v>1343</v>
      </c>
      <c r="C244">
        <v>1985</v>
      </c>
      <c r="D244">
        <v>2026</v>
      </c>
    </row>
    <row r="245" spans="1:4" x14ac:dyDescent="0.3">
      <c r="A245" t="s">
        <v>333</v>
      </c>
      <c r="B245">
        <v>1344</v>
      </c>
      <c r="C245">
        <v>1985</v>
      </c>
      <c r="D245">
        <v>2026</v>
      </c>
    </row>
    <row r="246" spans="1:4" x14ac:dyDescent="0.3">
      <c r="A246" t="s">
        <v>79</v>
      </c>
      <c r="B246">
        <v>1345</v>
      </c>
      <c r="C246">
        <v>1985</v>
      </c>
      <c r="D246">
        <v>2026</v>
      </c>
    </row>
    <row r="247" spans="1:4" x14ac:dyDescent="0.3">
      <c r="A247" t="s">
        <v>334</v>
      </c>
      <c r="B247">
        <v>1346</v>
      </c>
      <c r="C247">
        <v>1999</v>
      </c>
      <c r="D247">
        <v>2026</v>
      </c>
    </row>
    <row r="248" spans="1:4" x14ac:dyDescent="0.3">
      <c r="A248" t="s">
        <v>335</v>
      </c>
      <c r="B248">
        <v>1347</v>
      </c>
      <c r="C248">
        <v>1985</v>
      </c>
      <c r="D248">
        <v>2026</v>
      </c>
    </row>
    <row r="249" spans="1:4" x14ac:dyDescent="0.3">
      <c r="A249" t="s">
        <v>336</v>
      </c>
      <c r="B249">
        <v>1348</v>
      </c>
      <c r="C249">
        <v>1985</v>
      </c>
      <c r="D249">
        <v>2026</v>
      </c>
    </row>
    <row r="250" spans="1:4" x14ac:dyDescent="0.3">
      <c r="A250" t="s">
        <v>337</v>
      </c>
      <c r="B250">
        <v>1349</v>
      </c>
      <c r="C250">
        <v>1985</v>
      </c>
      <c r="D250">
        <v>2026</v>
      </c>
    </row>
    <row r="251" spans="1:4" x14ac:dyDescent="0.3">
      <c r="A251" t="s">
        <v>338</v>
      </c>
      <c r="B251">
        <v>1350</v>
      </c>
      <c r="C251">
        <v>1985</v>
      </c>
      <c r="D251">
        <v>2026</v>
      </c>
    </row>
    <row r="252" spans="1:4" x14ac:dyDescent="0.3">
      <c r="A252" t="s">
        <v>339</v>
      </c>
      <c r="B252">
        <v>1351</v>
      </c>
      <c r="C252">
        <v>1985</v>
      </c>
      <c r="D252">
        <v>2026</v>
      </c>
    </row>
    <row r="253" spans="1:4" x14ac:dyDescent="0.3">
      <c r="A253" t="s">
        <v>340</v>
      </c>
      <c r="B253">
        <v>1352</v>
      </c>
      <c r="C253">
        <v>1985</v>
      </c>
      <c r="D253">
        <v>2026</v>
      </c>
    </row>
    <row r="254" spans="1:4" x14ac:dyDescent="0.3">
      <c r="A254" t="s">
        <v>341</v>
      </c>
      <c r="B254">
        <v>1353</v>
      </c>
      <c r="C254">
        <v>1985</v>
      </c>
      <c r="D254">
        <v>2026</v>
      </c>
    </row>
    <row r="255" spans="1:4" x14ac:dyDescent="0.3">
      <c r="A255" t="s">
        <v>342</v>
      </c>
      <c r="B255">
        <v>1354</v>
      </c>
      <c r="C255">
        <v>1985</v>
      </c>
      <c r="D255">
        <v>2026</v>
      </c>
    </row>
    <row r="256" spans="1:4" x14ac:dyDescent="0.3">
      <c r="A256" t="s">
        <v>343</v>
      </c>
      <c r="B256">
        <v>1355</v>
      </c>
      <c r="C256">
        <v>2006</v>
      </c>
      <c r="D256">
        <v>2026</v>
      </c>
    </row>
    <row r="257" spans="1:4" x14ac:dyDescent="0.3">
      <c r="A257" t="s">
        <v>344</v>
      </c>
      <c r="B257">
        <v>1356</v>
      </c>
      <c r="C257">
        <v>1985</v>
      </c>
      <c r="D257">
        <v>2026</v>
      </c>
    </row>
    <row r="258" spans="1:4" x14ac:dyDescent="0.3">
      <c r="A258" t="s">
        <v>345</v>
      </c>
      <c r="B258">
        <v>1357</v>
      </c>
      <c r="C258">
        <v>2000</v>
      </c>
      <c r="D258">
        <v>2026</v>
      </c>
    </row>
    <row r="259" spans="1:4" x14ac:dyDescent="0.3">
      <c r="A259" t="s">
        <v>346</v>
      </c>
      <c r="B259">
        <v>1358</v>
      </c>
      <c r="C259">
        <v>1987</v>
      </c>
      <c r="D259">
        <v>2026</v>
      </c>
    </row>
    <row r="260" spans="1:4" x14ac:dyDescent="0.3">
      <c r="A260" t="s">
        <v>347</v>
      </c>
      <c r="B260">
        <v>1359</v>
      </c>
      <c r="C260">
        <v>1985</v>
      </c>
      <c r="D260">
        <v>2026</v>
      </c>
    </row>
    <row r="261" spans="1:4" x14ac:dyDescent="0.3">
      <c r="A261" t="s">
        <v>348</v>
      </c>
      <c r="B261">
        <v>1360</v>
      </c>
      <c r="C261">
        <v>1985</v>
      </c>
      <c r="D261">
        <v>2026</v>
      </c>
    </row>
    <row r="262" spans="1:4" x14ac:dyDescent="0.3">
      <c r="A262" t="s">
        <v>349</v>
      </c>
      <c r="B262">
        <v>1361</v>
      </c>
      <c r="C262">
        <v>1985</v>
      </c>
      <c r="D262">
        <v>2026</v>
      </c>
    </row>
    <row r="263" spans="1:4" x14ac:dyDescent="0.3">
      <c r="A263" t="s">
        <v>350</v>
      </c>
      <c r="B263">
        <v>1362</v>
      </c>
      <c r="C263">
        <v>1986</v>
      </c>
      <c r="D263">
        <v>2026</v>
      </c>
    </row>
    <row r="264" spans="1:4" x14ac:dyDescent="0.3">
      <c r="A264" t="s">
        <v>351</v>
      </c>
      <c r="B264">
        <v>1363</v>
      </c>
      <c r="C264">
        <v>1985</v>
      </c>
      <c r="D264">
        <v>2026</v>
      </c>
    </row>
    <row r="265" spans="1:4" x14ac:dyDescent="0.3">
      <c r="A265" t="s">
        <v>352</v>
      </c>
      <c r="B265">
        <v>1364</v>
      </c>
      <c r="C265">
        <v>1985</v>
      </c>
      <c r="D265">
        <v>2026</v>
      </c>
    </row>
    <row r="266" spans="1:4" x14ac:dyDescent="0.3">
      <c r="A266" t="s">
        <v>353</v>
      </c>
      <c r="B266">
        <v>1365</v>
      </c>
      <c r="C266">
        <v>1985</v>
      </c>
      <c r="D266">
        <v>2026</v>
      </c>
    </row>
    <row r="267" spans="1:4" x14ac:dyDescent="0.3">
      <c r="A267" t="s">
        <v>354</v>
      </c>
      <c r="B267">
        <v>1366</v>
      </c>
      <c r="C267">
        <v>2003</v>
      </c>
      <c r="D267">
        <v>2019</v>
      </c>
    </row>
    <row r="268" spans="1:4" x14ac:dyDescent="0.3">
      <c r="A268" t="s">
        <v>355</v>
      </c>
      <c r="B268">
        <v>1367</v>
      </c>
      <c r="C268">
        <v>2008</v>
      </c>
      <c r="D268">
        <v>2026</v>
      </c>
    </row>
    <row r="269" spans="1:4" x14ac:dyDescent="0.3">
      <c r="A269" t="s">
        <v>356</v>
      </c>
      <c r="B269">
        <v>1368</v>
      </c>
      <c r="C269">
        <v>1985</v>
      </c>
      <c r="D269">
        <v>2026</v>
      </c>
    </row>
    <row r="270" spans="1:4" x14ac:dyDescent="0.3">
      <c r="A270" t="s">
        <v>357</v>
      </c>
      <c r="B270">
        <v>1369</v>
      </c>
      <c r="C270">
        <v>1992</v>
      </c>
      <c r="D270">
        <v>2026</v>
      </c>
    </row>
    <row r="271" spans="1:4" x14ac:dyDescent="0.3">
      <c r="A271" t="s">
        <v>358</v>
      </c>
      <c r="B271">
        <v>1370</v>
      </c>
      <c r="C271">
        <v>2009</v>
      </c>
      <c r="D271">
        <v>2026</v>
      </c>
    </row>
    <row r="272" spans="1:4" x14ac:dyDescent="0.3">
      <c r="A272" t="s">
        <v>359</v>
      </c>
      <c r="B272">
        <v>1371</v>
      </c>
      <c r="C272">
        <v>1985</v>
      </c>
      <c r="D272">
        <v>2026</v>
      </c>
    </row>
    <row r="273" spans="1:4" x14ac:dyDescent="0.3">
      <c r="A273" t="s">
        <v>360</v>
      </c>
      <c r="B273">
        <v>1372</v>
      </c>
      <c r="C273">
        <v>1987</v>
      </c>
      <c r="D273">
        <v>2026</v>
      </c>
    </row>
    <row r="274" spans="1:4" x14ac:dyDescent="0.3">
      <c r="A274" t="s">
        <v>361</v>
      </c>
      <c r="B274">
        <v>1373</v>
      </c>
      <c r="C274">
        <v>1985</v>
      </c>
      <c r="D274">
        <v>2026</v>
      </c>
    </row>
    <row r="275" spans="1:4" x14ac:dyDescent="0.3">
      <c r="A275" t="s">
        <v>72</v>
      </c>
      <c r="B275">
        <v>1374</v>
      </c>
      <c r="C275">
        <v>1985</v>
      </c>
      <c r="D275">
        <v>2026</v>
      </c>
    </row>
    <row r="276" spans="1:4" x14ac:dyDescent="0.3">
      <c r="A276" t="s">
        <v>362</v>
      </c>
      <c r="B276">
        <v>1375</v>
      </c>
      <c r="C276">
        <v>1985</v>
      </c>
      <c r="D276">
        <v>2026</v>
      </c>
    </row>
    <row r="277" spans="1:4" x14ac:dyDescent="0.3">
      <c r="A277" t="s">
        <v>363</v>
      </c>
      <c r="B277">
        <v>1376</v>
      </c>
      <c r="C277">
        <v>1985</v>
      </c>
      <c r="D277">
        <v>2026</v>
      </c>
    </row>
    <row r="278" spans="1:4" x14ac:dyDescent="0.3">
      <c r="A278" t="s">
        <v>364</v>
      </c>
      <c r="B278">
        <v>1377</v>
      </c>
      <c r="C278">
        <v>2009</v>
      </c>
      <c r="D278">
        <v>2026</v>
      </c>
    </row>
    <row r="279" spans="1:4" x14ac:dyDescent="0.3">
      <c r="A279" t="s">
        <v>365</v>
      </c>
      <c r="B279">
        <v>1378</v>
      </c>
      <c r="C279">
        <v>1985</v>
      </c>
      <c r="D279">
        <v>2026</v>
      </c>
    </row>
    <row r="280" spans="1:4" x14ac:dyDescent="0.3">
      <c r="A280" t="s">
        <v>366</v>
      </c>
      <c r="B280">
        <v>1379</v>
      </c>
      <c r="C280">
        <v>1985</v>
      </c>
      <c r="D280">
        <v>2026</v>
      </c>
    </row>
    <row r="281" spans="1:4" x14ac:dyDescent="0.3">
      <c r="A281" t="s">
        <v>367</v>
      </c>
      <c r="B281">
        <v>1380</v>
      </c>
      <c r="C281">
        <v>1985</v>
      </c>
      <c r="D281">
        <v>2026</v>
      </c>
    </row>
    <row r="282" spans="1:4" x14ac:dyDescent="0.3">
      <c r="A282" t="s">
        <v>368</v>
      </c>
      <c r="B282">
        <v>1381</v>
      </c>
      <c r="C282">
        <v>1989</v>
      </c>
      <c r="D282">
        <v>2026</v>
      </c>
    </row>
    <row r="283" spans="1:4" x14ac:dyDescent="0.3">
      <c r="A283" t="s">
        <v>369</v>
      </c>
      <c r="B283">
        <v>1382</v>
      </c>
      <c r="C283">
        <v>1985</v>
      </c>
      <c r="D283">
        <v>2026</v>
      </c>
    </row>
    <row r="284" spans="1:4" x14ac:dyDescent="0.3">
      <c r="A284" t="s">
        <v>370</v>
      </c>
      <c r="B284">
        <v>1383</v>
      </c>
      <c r="C284">
        <v>1985</v>
      </c>
      <c r="D284">
        <v>2023</v>
      </c>
    </row>
    <row r="285" spans="1:4" x14ac:dyDescent="0.3">
      <c r="A285" t="s">
        <v>371</v>
      </c>
      <c r="B285">
        <v>1384</v>
      </c>
      <c r="C285">
        <v>1985</v>
      </c>
      <c r="D285">
        <v>2026</v>
      </c>
    </row>
    <row r="286" spans="1:4" x14ac:dyDescent="0.3">
      <c r="A286" t="s">
        <v>372</v>
      </c>
      <c r="B286">
        <v>1385</v>
      </c>
      <c r="C286">
        <v>1985</v>
      </c>
      <c r="D286">
        <v>2026</v>
      </c>
    </row>
    <row r="287" spans="1:4" x14ac:dyDescent="0.3">
      <c r="A287" t="s">
        <v>373</v>
      </c>
      <c r="B287">
        <v>1386</v>
      </c>
      <c r="C287">
        <v>1985</v>
      </c>
      <c r="D287">
        <v>2026</v>
      </c>
    </row>
    <row r="288" spans="1:4" x14ac:dyDescent="0.3">
      <c r="A288" t="s">
        <v>374</v>
      </c>
      <c r="B288">
        <v>1387</v>
      </c>
      <c r="C288">
        <v>1985</v>
      </c>
      <c r="D288">
        <v>2026</v>
      </c>
    </row>
    <row r="289" spans="1:4" x14ac:dyDescent="0.3">
      <c r="A289" t="s">
        <v>375</v>
      </c>
      <c r="B289">
        <v>1388</v>
      </c>
      <c r="C289">
        <v>1985</v>
      </c>
      <c r="D289">
        <v>2026</v>
      </c>
    </row>
    <row r="290" spans="1:4" x14ac:dyDescent="0.3">
      <c r="A290" t="s">
        <v>376</v>
      </c>
      <c r="B290">
        <v>1389</v>
      </c>
      <c r="C290">
        <v>1985</v>
      </c>
      <c r="D290">
        <v>2026</v>
      </c>
    </row>
    <row r="291" spans="1:4" x14ac:dyDescent="0.3">
      <c r="A291" t="s">
        <v>377</v>
      </c>
      <c r="B291">
        <v>1390</v>
      </c>
      <c r="C291">
        <v>1985</v>
      </c>
      <c r="D291">
        <v>2026</v>
      </c>
    </row>
    <row r="292" spans="1:4" x14ac:dyDescent="0.3">
      <c r="A292" t="s">
        <v>378</v>
      </c>
      <c r="B292">
        <v>1391</v>
      </c>
      <c r="C292">
        <v>1985</v>
      </c>
      <c r="D292">
        <v>2026</v>
      </c>
    </row>
    <row r="293" spans="1:4" x14ac:dyDescent="0.3">
      <c r="A293" t="s">
        <v>379</v>
      </c>
      <c r="B293">
        <v>1392</v>
      </c>
      <c r="C293">
        <v>2000</v>
      </c>
      <c r="D293">
        <v>2026</v>
      </c>
    </row>
    <row r="294" spans="1:4" x14ac:dyDescent="0.3">
      <c r="A294" t="s">
        <v>380</v>
      </c>
      <c r="B294">
        <v>1393</v>
      </c>
      <c r="C294">
        <v>1985</v>
      </c>
      <c r="D294">
        <v>2026</v>
      </c>
    </row>
    <row r="295" spans="1:4" x14ac:dyDescent="0.3">
      <c r="A295" t="s">
        <v>381</v>
      </c>
      <c r="B295">
        <v>1394</v>
      </c>
      <c r="C295">
        <v>2003</v>
      </c>
      <c r="D295">
        <v>2026</v>
      </c>
    </row>
    <row r="296" spans="1:4" x14ac:dyDescent="0.3">
      <c r="A296" t="s">
        <v>105</v>
      </c>
      <c r="B296">
        <v>1395</v>
      </c>
      <c r="C296">
        <v>1985</v>
      </c>
      <c r="D296">
        <v>2026</v>
      </c>
    </row>
    <row r="297" spans="1:4" x14ac:dyDescent="0.3">
      <c r="A297" t="s">
        <v>382</v>
      </c>
      <c r="B297">
        <v>1396</v>
      </c>
      <c r="C297">
        <v>1985</v>
      </c>
      <c r="D297">
        <v>2026</v>
      </c>
    </row>
    <row r="298" spans="1:4" x14ac:dyDescent="0.3">
      <c r="A298" t="s">
        <v>99</v>
      </c>
      <c r="B298">
        <v>1397</v>
      </c>
      <c r="C298">
        <v>1985</v>
      </c>
      <c r="D298">
        <v>2026</v>
      </c>
    </row>
    <row r="299" spans="1:4" x14ac:dyDescent="0.3">
      <c r="A299" t="s">
        <v>383</v>
      </c>
      <c r="B299">
        <v>1398</v>
      </c>
      <c r="C299">
        <v>1985</v>
      </c>
      <c r="D299">
        <v>2026</v>
      </c>
    </row>
    <row r="300" spans="1:4" x14ac:dyDescent="0.3">
      <c r="A300" t="s">
        <v>384</v>
      </c>
      <c r="B300">
        <v>1399</v>
      </c>
      <c r="C300">
        <v>1985</v>
      </c>
      <c r="D300">
        <v>2026</v>
      </c>
    </row>
    <row r="301" spans="1:4" x14ac:dyDescent="0.3">
      <c r="A301" t="s">
        <v>95</v>
      </c>
      <c r="B301">
        <v>1400</v>
      </c>
      <c r="C301">
        <v>1985</v>
      </c>
      <c r="D301">
        <v>2026</v>
      </c>
    </row>
    <row r="302" spans="1:4" x14ac:dyDescent="0.3">
      <c r="A302" t="s">
        <v>78</v>
      </c>
      <c r="B302">
        <v>1401</v>
      </c>
      <c r="C302">
        <v>1985</v>
      </c>
      <c r="D302">
        <v>2026</v>
      </c>
    </row>
    <row r="303" spans="1:4" x14ac:dyDescent="0.3">
      <c r="A303" t="s">
        <v>385</v>
      </c>
      <c r="B303">
        <v>1402</v>
      </c>
      <c r="C303">
        <v>1985</v>
      </c>
      <c r="D303">
        <v>2026</v>
      </c>
    </row>
    <row r="304" spans="1:4" x14ac:dyDescent="0.3">
      <c r="A304" t="s">
        <v>76</v>
      </c>
      <c r="B304">
        <v>1403</v>
      </c>
      <c r="C304">
        <v>1985</v>
      </c>
      <c r="D304">
        <v>2026</v>
      </c>
    </row>
    <row r="305" spans="1:4" x14ac:dyDescent="0.3">
      <c r="A305" t="s">
        <v>386</v>
      </c>
      <c r="B305">
        <v>1404</v>
      </c>
      <c r="C305">
        <v>1993</v>
      </c>
      <c r="D305">
        <v>2026</v>
      </c>
    </row>
    <row r="306" spans="1:4" x14ac:dyDescent="0.3">
      <c r="A306" t="s">
        <v>387</v>
      </c>
      <c r="B306">
        <v>1405</v>
      </c>
      <c r="C306">
        <v>1985</v>
      </c>
      <c r="D306">
        <v>2026</v>
      </c>
    </row>
    <row r="307" spans="1:4" x14ac:dyDescent="0.3">
      <c r="A307" t="s">
        <v>388</v>
      </c>
      <c r="B307">
        <v>1406</v>
      </c>
      <c r="C307">
        <v>1985</v>
      </c>
      <c r="D307">
        <v>2026</v>
      </c>
    </row>
    <row r="308" spans="1:4" x14ac:dyDescent="0.3">
      <c r="A308" t="s">
        <v>80</v>
      </c>
      <c r="B308">
        <v>1407</v>
      </c>
      <c r="C308">
        <v>1994</v>
      </c>
      <c r="D308">
        <v>2026</v>
      </c>
    </row>
    <row r="309" spans="1:4" x14ac:dyDescent="0.3">
      <c r="A309" t="s">
        <v>389</v>
      </c>
      <c r="B309">
        <v>1408</v>
      </c>
      <c r="C309">
        <v>1985</v>
      </c>
      <c r="D309">
        <v>2026</v>
      </c>
    </row>
    <row r="310" spans="1:4" x14ac:dyDescent="0.3">
      <c r="A310" t="s">
        <v>390</v>
      </c>
      <c r="B310">
        <v>1409</v>
      </c>
      <c r="C310">
        <v>1985</v>
      </c>
      <c r="D310">
        <v>2026</v>
      </c>
    </row>
    <row r="311" spans="1:4" x14ac:dyDescent="0.3">
      <c r="A311" t="s">
        <v>391</v>
      </c>
      <c r="B311">
        <v>1410</v>
      </c>
      <c r="C311">
        <v>1985</v>
      </c>
      <c r="D311">
        <v>2026</v>
      </c>
    </row>
    <row r="312" spans="1:4" x14ac:dyDescent="0.3">
      <c r="A312" t="s">
        <v>392</v>
      </c>
      <c r="B312">
        <v>1411</v>
      </c>
      <c r="C312">
        <v>1985</v>
      </c>
      <c r="D312">
        <v>2026</v>
      </c>
    </row>
    <row r="313" spans="1:4" x14ac:dyDescent="0.3">
      <c r="A313" t="s">
        <v>393</v>
      </c>
      <c r="B313">
        <v>1412</v>
      </c>
      <c r="C313">
        <v>1985</v>
      </c>
      <c r="D313">
        <v>2026</v>
      </c>
    </row>
    <row r="314" spans="1:4" x14ac:dyDescent="0.3">
      <c r="A314" t="s">
        <v>394</v>
      </c>
      <c r="B314">
        <v>1413</v>
      </c>
      <c r="C314">
        <v>2005</v>
      </c>
      <c r="D314">
        <v>2026</v>
      </c>
    </row>
    <row r="315" spans="1:4" x14ac:dyDescent="0.3">
      <c r="A315" t="s">
        <v>93</v>
      </c>
      <c r="B315">
        <v>1414</v>
      </c>
      <c r="C315">
        <v>1985</v>
      </c>
      <c r="D315">
        <v>2026</v>
      </c>
    </row>
    <row r="316" spans="1:4" x14ac:dyDescent="0.3">
      <c r="A316" t="s">
        <v>395</v>
      </c>
      <c r="B316">
        <v>1415</v>
      </c>
      <c r="C316">
        <v>2002</v>
      </c>
      <c r="D316">
        <v>2026</v>
      </c>
    </row>
    <row r="317" spans="1:4" x14ac:dyDescent="0.3">
      <c r="A317" t="s">
        <v>85</v>
      </c>
      <c r="B317">
        <v>1416</v>
      </c>
      <c r="C317">
        <v>1985</v>
      </c>
      <c r="D317">
        <v>2026</v>
      </c>
    </row>
    <row r="318" spans="1:4" x14ac:dyDescent="0.3">
      <c r="A318" t="s">
        <v>81</v>
      </c>
      <c r="B318">
        <v>1417</v>
      </c>
      <c r="C318">
        <v>1985</v>
      </c>
      <c r="D318">
        <v>2026</v>
      </c>
    </row>
    <row r="319" spans="1:4" x14ac:dyDescent="0.3">
      <c r="A319" t="s">
        <v>396</v>
      </c>
      <c r="B319">
        <v>1418</v>
      </c>
      <c r="C319">
        <v>1985</v>
      </c>
      <c r="D319">
        <v>2026</v>
      </c>
    </row>
    <row r="320" spans="1:4" x14ac:dyDescent="0.3">
      <c r="A320" t="s">
        <v>397</v>
      </c>
      <c r="B320">
        <v>1419</v>
      </c>
      <c r="C320">
        <v>1985</v>
      </c>
      <c r="D320">
        <v>2026</v>
      </c>
    </row>
    <row r="321" spans="1:4" x14ac:dyDescent="0.3">
      <c r="A321" t="s">
        <v>398</v>
      </c>
      <c r="B321">
        <v>1420</v>
      </c>
      <c r="C321">
        <v>1987</v>
      </c>
      <c r="D321">
        <v>2026</v>
      </c>
    </row>
    <row r="322" spans="1:4" x14ac:dyDescent="0.3">
      <c r="A322" t="s">
        <v>399</v>
      </c>
      <c r="B322">
        <v>1421</v>
      </c>
      <c r="C322">
        <v>1987</v>
      </c>
      <c r="D322">
        <v>2026</v>
      </c>
    </row>
    <row r="323" spans="1:4" x14ac:dyDescent="0.3">
      <c r="A323" t="s">
        <v>400</v>
      </c>
      <c r="B323">
        <v>1422</v>
      </c>
      <c r="C323">
        <v>1992</v>
      </c>
      <c r="D323">
        <v>2026</v>
      </c>
    </row>
    <row r="324" spans="1:4" x14ac:dyDescent="0.3">
      <c r="A324" t="s">
        <v>102</v>
      </c>
      <c r="B324">
        <v>1423</v>
      </c>
      <c r="C324">
        <v>1985</v>
      </c>
      <c r="D324">
        <v>2026</v>
      </c>
    </row>
    <row r="325" spans="1:4" x14ac:dyDescent="0.3">
      <c r="A325" t="s">
        <v>401</v>
      </c>
      <c r="B325">
        <v>1424</v>
      </c>
      <c r="C325">
        <v>1985</v>
      </c>
      <c r="D325">
        <v>2026</v>
      </c>
    </row>
    <row r="326" spans="1:4" x14ac:dyDescent="0.3">
      <c r="A326" t="s">
        <v>402</v>
      </c>
      <c r="B326">
        <v>1425</v>
      </c>
      <c r="C326">
        <v>1985</v>
      </c>
      <c r="D326">
        <v>2026</v>
      </c>
    </row>
    <row r="327" spans="1:4" x14ac:dyDescent="0.3">
      <c r="A327" t="s">
        <v>403</v>
      </c>
      <c r="B327">
        <v>1426</v>
      </c>
      <c r="C327">
        <v>1985</v>
      </c>
      <c r="D327">
        <v>2026</v>
      </c>
    </row>
    <row r="328" spans="1:4" x14ac:dyDescent="0.3">
      <c r="A328" t="s">
        <v>404</v>
      </c>
      <c r="B328">
        <v>1427</v>
      </c>
      <c r="C328">
        <v>1985</v>
      </c>
      <c r="D328">
        <v>2026</v>
      </c>
    </row>
    <row r="329" spans="1:4" x14ac:dyDescent="0.3">
      <c r="A329" t="s">
        <v>405</v>
      </c>
      <c r="B329">
        <v>1428</v>
      </c>
      <c r="C329">
        <v>1985</v>
      </c>
      <c r="D329">
        <v>2026</v>
      </c>
    </row>
    <row r="330" spans="1:4" x14ac:dyDescent="0.3">
      <c r="A330" t="s">
        <v>406</v>
      </c>
      <c r="B330">
        <v>1429</v>
      </c>
      <c r="C330">
        <v>1985</v>
      </c>
      <c r="D330">
        <v>2026</v>
      </c>
    </row>
    <row r="331" spans="1:4" x14ac:dyDescent="0.3">
      <c r="A331" t="s">
        <v>407</v>
      </c>
      <c r="B331">
        <v>1430</v>
      </c>
      <c r="C331">
        <v>2005</v>
      </c>
      <c r="D331">
        <v>2026</v>
      </c>
    </row>
    <row r="332" spans="1:4" x14ac:dyDescent="0.3">
      <c r="A332" t="s">
        <v>408</v>
      </c>
      <c r="B332">
        <v>1431</v>
      </c>
      <c r="C332">
        <v>1985</v>
      </c>
      <c r="D332">
        <v>2026</v>
      </c>
    </row>
    <row r="333" spans="1:4" x14ac:dyDescent="0.3">
      <c r="A333" t="s">
        <v>409</v>
      </c>
      <c r="B333">
        <v>1432</v>
      </c>
      <c r="C333">
        <v>1985</v>
      </c>
      <c r="D333">
        <v>1987</v>
      </c>
    </row>
    <row r="334" spans="1:4" x14ac:dyDescent="0.3">
      <c r="A334" t="s">
        <v>410</v>
      </c>
      <c r="B334">
        <v>1433</v>
      </c>
      <c r="C334">
        <v>1985</v>
      </c>
      <c r="D334">
        <v>2026</v>
      </c>
    </row>
    <row r="335" spans="1:4" x14ac:dyDescent="0.3">
      <c r="A335" t="s">
        <v>411</v>
      </c>
      <c r="B335">
        <v>1434</v>
      </c>
      <c r="C335">
        <v>1985</v>
      </c>
      <c r="D335">
        <v>2026</v>
      </c>
    </row>
    <row r="336" spans="1:4" x14ac:dyDescent="0.3">
      <c r="A336" t="s">
        <v>87</v>
      </c>
      <c r="B336">
        <v>1435</v>
      </c>
      <c r="C336">
        <v>1985</v>
      </c>
      <c r="D336">
        <v>2026</v>
      </c>
    </row>
    <row r="337" spans="1:4" x14ac:dyDescent="0.3">
      <c r="A337" t="s">
        <v>412</v>
      </c>
      <c r="B337">
        <v>1436</v>
      </c>
      <c r="C337">
        <v>1985</v>
      </c>
      <c r="D337">
        <v>2026</v>
      </c>
    </row>
    <row r="338" spans="1:4" x14ac:dyDescent="0.3">
      <c r="A338" t="s">
        <v>104</v>
      </c>
      <c r="B338">
        <v>1437</v>
      </c>
      <c r="C338">
        <v>1985</v>
      </c>
      <c r="D338">
        <v>2026</v>
      </c>
    </row>
    <row r="339" spans="1:4" x14ac:dyDescent="0.3">
      <c r="A339" t="s">
        <v>89</v>
      </c>
      <c r="B339">
        <v>1438</v>
      </c>
      <c r="C339">
        <v>1985</v>
      </c>
      <c r="D339">
        <v>2026</v>
      </c>
    </row>
    <row r="340" spans="1:4" x14ac:dyDescent="0.3">
      <c r="A340" t="s">
        <v>413</v>
      </c>
      <c r="B340">
        <v>1439</v>
      </c>
      <c r="C340">
        <v>1985</v>
      </c>
      <c r="D340">
        <v>2026</v>
      </c>
    </row>
    <row r="341" spans="1:4" x14ac:dyDescent="0.3">
      <c r="A341" t="s">
        <v>414</v>
      </c>
      <c r="B341">
        <v>1440</v>
      </c>
      <c r="C341">
        <v>1985</v>
      </c>
      <c r="D341">
        <v>2026</v>
      </c>
    </row>
    <row r="342" spans="1:4" x14ac:dyDescent="0.3">
      <c r="A342" t="s">
        <v>415</v>
      </c>
      <c r="B342">
        <v>1441</v>
      </c>
      <c r="C342">
        <v>1985</v>
      </c>
      <c r="D342">
        <v>2026</v>
      </c>
    </row>
    <row r="343" spans="1:4" x14ac:dyDescent="0.3">
      <c r="A343" t="s">
        <v>416</v>
      </c>
      <c r="B343">
        <v>1442</v>
      </c>
      <c r="C343">
        <v>1985</v>
      </c>
      <c r="D343">
        <v>2026</v>
      </c>
    </row>
    <row r="344" spans="1:4" x14ac:dyDescent="0.3">
      <c r="A344" t="s">
        <v>417</v>
      </c>
      <c r="B344">
        <v>1443</v>
      </c>
      <c r="C344">
        <v>1985</v>
      </c>
      <c r="D344">
        <v>2026</v>
      </c>
    </row>
    <row r="345" spans="1:4" x14ac:dyDescent="0.3">
      <c r="A345" t="s">
        <v>418</v>
      </c>
      <c r="B345">
        <v>1444</v>
      </c>
      <c r="C345">
        <v>1985</v>
      </c>
      <c r="D345">
        <v>2026</v>
      </c>
    </row>
    <row r="346" spans="1:4" x14ac:dyDescent="0.3">
      <c r="A346" t="s">
        <v>419</v>
      </c>
      <c r="B346">
        <v>1445</v>
      </c>
      <c r="C346">
        <v>2007</v>
      </c>
      <c r="D346">
        <v>2010</v>
      </c>
    </row>
    <row r="347" spans="1:4" x14ac:dyDescent="0.3">
      <c r="A347" t="s">
        <v>420</v>
      </c>
      <c r="B347">
        <v>1446</v>
      </c>
      <c r="C347">
        <v>1985</v>
      </c>
      <c r="D347">
        <v>1986</v>
      </c>
    </row>
    <row r="348" spans="1:4" x14ac:dyDescent="0.3">
      <c r="A348" t="s">
        <v>421</v>
      </c>
      <c r="B348">
        <v>1447</v>
      </c>
      <c r="C348">
        <v>1985</v>
      </c>
      <c r="D348">
        <v>2026</v>
      </c>
    </row>
    <row r="349" spans="1:4" x14ac:dyDescent="0.3">
      <c r="A349" t="s">
        <v>422</v>
      </c>
      <c r="B349">
        <v>1448</v>
      </c>
      <c r="C349">
        <v>1985</v>
      </c>
      <c r="D349">
        <v>2026</v>
      </c>
    </row>
    <row r="350" spans="1:4" x14ac:dyDescent="0.3">
      <c r="A350" t="s">
        <v>423</v>
      </c>
      <c r="B350">
        <v>1449</v>
      </c>
      <c r="C350">
        <v>1985</v>
      </c>
      <c r="D350">
        <v>2026</v>
      </c>
    </row>
    <row r="351" spans="1:4" x14ac:dyDescent="0.3">
      <c r="A351" t="s">
        <v>424</v>
      </c>
      <c r="B351">
        <v>1450</v>
      </c>
      <c r="C351">
        <v>1985</v>
      </c>
      <c r="D351">
        <v>2026</v>
      </c>
    </row>
    <row r="352" spans="1:4" x14ac:dyDescent="0.3">
      <c r="A352" t="s">
        <v>425</v>
      </c>
      <c r="B352">
        <v>1451</v>
      </c>
      <c r="C352">
        <v>1985</v>
      </c>
      <c r="D352">
        <v>2026</v>
      </c>
    </row>
    <row r="353" spans="1:4" x14ac:dyDescent="0.3">
      <c r="A353" t="s">
        <v>426</v>
      </c>
      <c r="B353">
        <v>1452</v>
      </c>
      <c r="C353">
        <v>1985</v>
      </c>
      <c r="D353">
        <v>2026</v>
      </c>
    </row>
    <row r="354" spans="1:4" x14ac:dyDescent="0.3">
      <c r="A354" t="s">
        <v>427</v>
      </c>
      <c r="B354">
        <v>1453</v>
      </c>
      <c r="C354">
        <v>1985</v>
      </c>
      <c r="D354">
        <v>2026</v>
      </c>
    </row>
    <row r="355" spans="1:4" x14ac:dyDescent="0.3">
      <c r="A355" t="s">
        <v>428</v>
      </c>
      <c r="B355">
        <v>1454</v>
      </c>
      <c r="C355">
        <v>1991</v>
      </c>
      <c r="D355">
        <v>2026</v>
      </c>
    </row>
    <row r="356" spans="1:4" x14ac:dyDescent="0.3">
      <c r="A356" t="s">
        <v>429</v>
      </c>
      <c r="B356">
        <v>1455</v>
      </c>
      <c r="C356">
        <v>1985</v>
      </c>
      <c r="D356">
        <v>2026</v>
      </c>
    </row>
    <row r="357" spans="1:4" x14ac:dyDescent="0.3">
      <c r="A357" t="s">
        <v>430</v>
      </c>
      <c r="B357">
        <v>1456</v>
      </c>
      <c r="C357">
        <v>1985</v>
      </c>
      <c r="D357">
        <v>2026</v>
      </c>
    </row>
    <row r="358" spans="1:4" x14ac:dyDescent="0.3">
      <c r="A358" t="s">
        <v>431</v>
      </c>
      <c r="B358">
        <v>1457</v>
      </c>
      <c r="C358">
        <v>1987</v>
      </c>
      <c r="D358">
        <v>2026</v>
      </c>
    </row>
    <row r="359" spans="1:4" x14ac:dyDescent="0.3">
      <c r="A359" t="s">
        <v>94</v>
      </c>
      <c r="B359">
        <v>1458</v>
      </c>
      <c r="C359">
        <v>1985</v>
      </c>
      <c r="D359">
        <v>2026</v>
      </c>
    </row>
    <row r="360" spans="1:4" x14ac:dyDescent="0.3">
      <c r="A360" t="s">
        <v>432</v>
      </c>
      <c r="B360">
        <v>1459</v>
      </c>
      <c r="C360">
        <v>1996</v>
      </c>
      <c r="D360">
        <v>2026</v>
      </c>
    </row>
    <row r="361" spans="1:4" x14ac:dyDescent="0.3">
      <c r="A361" t="s">
        <v>433</v>
      </c>
      <c r="B361">
        <v>1460</v>
      </c>
      <c r="C361">
        <v>1988</v>
      </c>
      <c r="D361">
        <v>2026</v>
      </c>
    </row>
    <row r="362" spans="1:4" x14ac:dyDescent="0.3">
      <c r="A362" t="s">
        <v>434</v>
      </c>
      <c r="B362">
        <v>1461</v>
      </c>
      <c r="C362">
        <v>1985</v>
      </c>
      <c r="D362">
        <v>2026</v>
      </c>
    </row>
    <row r="363" spans="1:4" x14ac:dyDescent="0.3">
      <c r="A363" t="s">
        <v>435</v>
      </c>
      <c r="B363">
        <v>1462</v>
      </c>
      <c r="C363">
        <v>1985</v>
      </c>
      <c r="D363">
        <v>2026</v>
      </c>
    </row>
    <row r="364" spans="1:4" x14ac:dyDescent="0.3">
      <c r="A364" t="s">
        <v>100</v>
      </c>
      <c r="B364">
        <v>1463</v>
      </c>
      <c r="C364">
        <v>1985</v>
      </c>
      <c r="D364">
        <v>2026</v>
      </c>
    </row>
    <row r="365" spans="1:4" x14ac:dyDescent="0.3">
      <c r="A365" t="s">
        <v>436</v>
      </c>
      <c r="B365">
        <v>1464</v>
      </c>
      <c r="C365">
        <v>1985</v>
      </c>
      <c r="D365">
        <v>2026</v>
      </c>
    </row>
    <row r="366" spans="1:4" x14ac:dyDescent="0.3">
      <c r="A366" t="s">
        <v>90</v>
      </c>
      <c r="B366">
        <v>1465</v>
      </c>
      <c r="C366">
        <v>2019</v>
      </c>
      <c r="D366">
        <v>2026</v>
      </c>
    </row>
    <row r="367" spans="1:4" x14ac:dyDescent="0.3">
      <c r="A367" t="s">
        <v>437</v>
      </c>
      <c r="B367">
        <v>1466</v>
      </c>
      <c r="C367">
        <v>2019</v>
      </c>
      <c r="D367">
        <v>2026</v>
      </c>
    </row>
    <row r="368" spans="1:4" x14ac:dyDescent="0.3">
      <c r="A368" t="s">
        <v>83</v>
      </c>
      <c r="B368">
        <v>1467</v>
      </c>
      <c r="C368">
        <v>2020</v>
      </c>
      <c r="D368">
        <v>2026</v>
      </c>
    </row>
    <row r="369" spans="1:4" x14ac:dyDescent="0.3">
      <c r="A369" t="s">
        <v>438</v>
      </c>
      <c r="B369">
        <v>1468</v>
      </c>
      <c r="C369">
        <v>2021</v>
      </c>
      <c r="D369">
        <v>2026</v>
      </c>
    </row>
    <row r="370" spans="1:4" x14ac:dyDescent="0.3">
      <c r="A370" t="s">
        <v>439</v>
      </c>
      <c r="B370">
        <v>1469</v>
      </c>
      <c r="C370">
        <v>2021</v>
      </c>
      <c r="D370">
        <v>2026</v>
      </c>
    </row>
    <row r="371" spans="1:4" x14ac:dyDescent="0.3">
      <c r="A371" t="s">
        <v>440</v>
      </c>
      <c r="B371">
        <v>1470</v>
      </c>
      <c r="C371">
        <v>2021</v>
      </c>
      <c r="D371">
        <v>2026</v>
      </c>
    </row>
    <row r="372" spans="1:4" x14ac:dyDescent="0.3">
      <c r="A372" t="s">
        <v>441</v>
      </c>
      <c r="B372">
        <v>1471</v>
      </c>
      <c r="C372">
        <v>2021</v>
      </c>
      <c r="D372">
        <v>2026</v>
      </c>
    </row>
    <row r="373" spans="1:4" x14ac:dyDescent="0.3">
      <c r="A373" t="s">
        <v>442</v>
      </c>
      <c r="B373">
        <v>1472</v>
      </c>
      <c r="C373">
        <v>2022</v>
      </c>
      <c r="D373">
        <v>2026</v>
      </c>
    </row>
    <row r="374" spans="1:4" x14ac:dyDescent="0.3">
      <c r="A374" t="s">
        <v>443</v>
      </c>
      <c r="B374">
        <v>1473</v>
      </c>
      <c r="C374">
        <v>2023</v>
      </c>
      <c r="D374">
        <v>2026</v>
      </c>
    </row>
    <row r="375" spans="1:4" x14ac:dyDescent="0.3">
      <c r="A375" t="s">
        <v>444</v>
      </c>
      <c r="B375">
        <v>1474</v>
      </c>
      <c r="C375">
        <v>2023</v>
      </c>
      <c r="D375">
        <v>2026</v>
      </c>
    </row>
    <row r="376" spans="1:4" x14ac:dyDescent="0.3">
      <c r="A376" t="s">
        <v>445</v>
      </c>
      <c r="B376">
        <v>1475</v>
      </c>
      <c r="C376">
        <v>2023</v>
      </c>
      <c r="D376">
        <v>2026</v>
      </c>
    </row>
    <row r="377" spans="1:4" x14ac:dyDescent="0.3">
      <c r="A377" t="s">
        <v>446</v>
      </c>
      <c r="B377">
        <v>1476</v>
      </c>
      <c r="C377">
        <v>2023</v>
      </c>
      <c r="D377">
        <v>2026</v>
      </c>
    </row>
    <row r="378" spans="1:4" x14ac:dyDescent="0.3">
      <c r="A378" t="s">
        <v>447</v>
      </c>
      <c r="B378">
        <v>1477</v>
      </c>
      <c r="C378">
        <v>2023</v>
      </c>
      <c r="D378">
        <v>2026</v>
      </c>
    </row>
    <row r="379" spans="1:4" x14ac:dyDescent="0.3">
      <c r="A379" t="s">
        <v>448</v>
      </c>
      <c r="B379">
        <v>1478</v>
      </c>
      <c r="C379">
        <v>2024</v>
      </c>
      <c r="D379">
        <v>2026</v>
      </c>
    </row>
    <row r="380" spans="1:4" x14ac:dyDescent="0.3">
      <c r="A380" t="s">
        <v>449</v>
      </c>
      <c r="B380">
        <v>1479</v>
      </c>
      <c r="C380">
        <v>2025</v>
      </c>
      <c r="D380">
        <v>2026</v>
      </c>
    </row>
    <row r="381" spans="1:4" x14ac:dyDescent="0.3">
      <c r="A381" t="s">
        <v>450</v>
      </c>
      <c r="B381">
        <v>1480</v>
      </c>
      <c r="C381">
        <v>2025</v>
      </c>
      <c r="D381">
        <v>2026</v>
      </c>
    </row>
    <row r="382" spans="1:4" x14ac:dyDescent="0.3">
      <c r="A382" t="s">
        <v>451</v>
      </c>
      <c r="B382">
        <v>1481</v>
      </c>
      <c r="C382">
        <v>2026</v>
      </c>
      <c r="D382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9A6BF-BB9F-4A0E-A390-452F80B7CB51}">
  <dimension ref="A1:G65"/>
  <sheetViews>
    <sheetView workbookViewId="0">
      <selection activeCell="G1" sqref="G1:G1048576"/>
    </sheetView>
  </sheetViews>
  <sheetFormatPr defaultRowHeight="14.4" x14ac:dyDescent="0.3"/>
  <cols>
    <col min="3" max="3" width="19.33203125" customWidth="1"/>
  </cols>
  <sheetData>
    <row r="1" spans="1:7" x14ac:dyDescent="0.3">
      <c r="A1" t="s">
        <v>492</v>
      </c>
      <c r="B1" t="s">
        <v>1</v>
      </c>
      <c r="C1" t="s">
        <v>111</v>
      </c>
      <c r="D1" t="s">
        <v>106</v>
      </c>
      <c r="E1" t="s">
        <v>2</v>
      </c>
      <c r="F1" t="s">
        <v>452</v>
      </c>
      <c r="G1" t="s">
        <v>497</v>
      </c>
    </row>
    <row r="2" spans="1:7" x14ac:dyDescent="0.3">
      <c r="A2">
        <v>1</v>
      </c>
      <c r="B2">
        <v>1</v>
      </c>
      <c r="C2" t="s">
        <v>97</v>
      </c>
      <c r="D2" t="s">
        <v>110</v>
      </c>
      <c r="E2">
        <f>VLOOKUP(Table1[[#This Row],[TeamName]],MTeams!A:B,2,FALSE)</f>
        <v>1181</v>
      </c>
      <c r="G2">
        <f t="shared" ref="G2:G33" si="0">COUNTIF(E:E, E2)</f>
        <v>1</v>
      </c>
    </row>
    <row r="3" spans="1:7" x14ac:dyDescent="0.3">
      <c r="A3">
        <v>2</v>
      </c>
      <c r="B3">
        <v>16</v>
      </c>
      <c r="C3" t="s">
        <v>383</v>
      </c>
      <c r="D3" t="s">
        <v>110</v>
      </c>
      <c r="E3">
        <f>VLOOKUP(Table1[[#This Row],[TeamName]],MTeams!A:B,2,FALSE)</f>
        <v>1398</v>
      </c>
      <c r="G3">
        <f t="shared" si="0"/>
        <v>1</v>
      </c>
    </row>
    <row r="4" spans="1:7" x14ac:dyDescent="0.3">
      <c r="A4">
        <v>3</v>
      </c>
      <c r="B4">
        <v>8</v>
      </c>
      <c r="C4" t="s">
        <v>406</v>
      </c>
      <c r="D4" t="s">
        <v>110</v>
      </c>
      <c r="E4">
        <f>VLOOKUP(Table1[[#This Row],[TeamName]],MTeams!A:B,2,FALSE)</f>
        <v>1429</v>
      </c>
      <c r="G4">
        <f t="shared" si="0"/>
        <v>1</v>
      </c>
    </row>
    <row r="5" spans="1:7" x14ac:dyDescent="0.3">
      <c r="A5">
        <v>4</v>
      </c>
      <c r="B5">
        <v>9</v>
      </c>
      <c r="C5" t="s">
        <v>98</v>
      </c>
      <c r="D5" t="s">
        <v>110</v>
      </c>
      <c r="E5">
        <f>VLOOKUP(Table1[[#This Row],[TeamName]],MTeams!A:B,2,FALSE)</f>
        <v>1234</v>
      </c>
      <c r="G5">
        <f t="shared" si="0"/>
        <v>1</v>
      </c>
    </row>
    <row r="6" spans="1:7" x14ac:dyDescent="0.3">
      <c r="A6">
        <v>5</v>
      </c>
      <c r="B6">
        <v>5</v>
      </c>
      <c r="C6" t="s">
        <v>372</v>
      </c>
      <c r="D6" t="s">
        <v>110</v>
      </c>
      <c r="E6">
        <f>VLOOKUP(Table1[[#This Row],[TeamName]],MTeams!A:B,2,FALSE)</f>
        <v>1385</v>
      </c>
      <c r="G6">
        <f t="shared" si="0"/>
        <v>1</v>
      </c>
    </row>
    <row r="7" spans="1:7" x14ac:dyDescent="0.3">
      <c r="A7">
        <v>6</v>
      </c>
      <c r="B7">
        <v>12</v>
      </c>
      <c r="C7" t="s">
        <v>100</v>
      </c>
      <c r="D7" t="s">
        <v>110</v>
      </c>
      <c r="E7">
        <f>VLOOKUP(Table1[[#This Row],[TeamName]],MTeams!A:B,2,FALSE)</f>
        <v>1463</v>
      </c>
      <c r="G7">
        <f t="shared" si="0"/>
        <v>1</v>
      </c>
    </row>
    <row r="8" spans="1:7" x14ac:dyDescent="0.3">
      <c r="A8">
        <v>7</v>
      </c>
      <c r="B8">
        <v>4</v>
      </c>
      <c r="C8" t="s">
        <v>67</v>
      </c>
      <c r="D8" t="s">
        <v>110</v>
      </c>
      <c r="E8">
        <f>VLOOKUP(Table1[[#This Row],[TeamName]],MTeams!A:B,2,FALSE)</f>
        <v>1104</v>
      </c>
      <c r="G8">
        <f t="shared" si="0"/>
        <v>1</v>
      </c>
    </row>
    <row r="9" spans="1:7" x14ac:dyDescent="0.3">
      <c r="A9">
        <v>8</v>
      </c>
      <c r="B9">
        <v>13</v>
      </c>
      <c r="C9" t="s">
        <v>360</v>
      </c>
      <c r="D9" t="s">
        <v>110</v>
      </c>
      <c r="E9">
        <f>VLOOKUP(Table1[[#This Row],[TeamName]],MTeams!A:B,2,FALSE)</f>
        <v>1372</v>
      </c>
      <c r="G9">
        <f t="shared" si="0"/>
        <v>1</v>
      </c>
    </row>
    <row r="10" spans="1:7" x14ac:dyDescent="0.3">
      <c r="A10">
        <v>9</v>
      </c>
      <c r="B10">
        <v>6</v>
      </c>
      <c r="C10" t="s">
        <v>94</v>
      </c>
      <c r="D10" t="s">
        <v>110</v>
      </c>
      <c r="E10">
        <f>VLOOKUP(Table1[[#This Row],[TeamName]],MTeams!A:B,2,FALSE)</f>
        <v>1458</v>
      </c>
      <c r="G10">
        <f t="shared" si="0"/>
        <v>1</v>
      </c>
    </row>
    <row r="11" spans="1:7" x14ac:dyDescent="0.3">
      <c r="A11">
        <v>10</v>
      </c>
      <c r="B11">
        <v>11</v>
      </c>
      <c r="C11" t="s">
        <v>353</v>
      </c>
      <c r="D11" t="s">
        <v>110</v>
      </c>
      <c r="E11">
        <f>VLOOKUP(Table1[[#This Row],[TeamName]],MTeams!A:B,2,FALSE)</f>
        <v>1365</v>
      </c>
      <c r="F11" t="s">
        <v>72</v>
      </c>
      <c r="G11">
        <f t="shared" si="0"/>
        <v>1</v>
      </c>
    </row>
    <row r="12" spans="1:7" x14ac:dyDescent="0.3">
      <c r="A12">
        <v>11</v>
      </c>
      <c r="B12">
        <v>3</v>
      </c>
      <c r="C12" t="s">
        <v>234</v>
      </c>
      <c r="D12" t="s">
        <v>110</v>
      </c>
      <c r="E12">
        <f>VLOOKUP(Table1[[#This Row],[TeamName]],MTeams!A:B,2,FALSE)</f>
        <v>1235</v>
      </c>
      <c r="G12">
        <f t="shared" si="0"/>
        <v>1</v>
      </c>
    </row>
    <row r="13" spans="1:7" x14ac:dyDescent="0.3">
      <c r="A13">
        <v>12</v>
      </c>
      <c r="B13">
        <v>14</v>
      </c>
      <c r="C13" t="s">
        <v>80</v>
      </c>
      <c r="D13" t="s">
        <v>110</v>
      </c>
      <c r="E13">
        <f>VLOOKUP(Table1[[#This Row],[TeamName]],MTeams!A:B,2,FALSE)</f>
        <v>1407</v>
      </c>
      <c r="G13">
        <f t="shared" si="0"/>
        <v>1</v>
      </c>
    </row>
    <row r="14" spans="1:7" x14ac:dyDescent="0.3">
      <c r="A14">
        <v>13</v>
      </c>
      <c r="B14">
        <v>7</v>
      </c>
      <c r="C14" t="s">
        <v>104</v>
      </c>
      <c r="D14" t="s">
        <v>110</v>
      </c>
      <c r="E14">
        <f>VLOOKUP(Table1[[#This Row],[TeamName]],MTeams!A:B,2,FALSE)</f>
        <v>1437</v>
      </c>
      <c r="G14">
        <f t="shared" si="0"/>
        <v>1</v>
      </c>
    </row>
    <row r="15" spans="1:7" x14ac:dyDescent="0.3">
      <c r="A15">
        <v>14</v>
      </c>
      <c r="B15">
        <v>10</v>
      </c>
      <c r="C15" t="s">
        <v>65</v>
      </c>
      <c r="D15" t="s">
        <v>110</v>
      </c>
      <c r="E15">
        <f>VLOOKUP(Table1[[#This Row],[TeamName]],MTeams!A:B,2,FALSE)</f>
        <v>1281</v>
      </c>
      <c r="G15">
        <f t="shared" si="0"/>
        <v>1</v>
      </c>
    </row>
    <row r="16" spans="1:7" x14ac:dyDescent="0.3">
      <c r="A16">
        <v>15</v>
      </c>
      <c r="B16">
        <v>2</v>
      </c>
      <c r="C16" t="s">
        <v>271</v>
      </c>
      <c r="D16" t="s">
        <v>110</v>
      </c>
      <c r="E16">
        <f>VLOOKUP(Table1[[#This Row],[TeamName]],MTeams!A:B,2,FALSE)</f>
        <v>1277</v>
      </c>
      <c r="G16">
        <f t="shared" si="0"/>
        <v>1</v>
      </c>
    </row>
    <row r="17" spans="1:7" x14ac:dyDescent="0.3">
      <c r="A17">
        <v>16</v>
      </c>
      <c r="B17">
        <v>15</v>
      </c>
      <c r="C17" t="s">
        <v>433</v>
      </c>
      <c r="D17" t="s">
        <v>110</v>
      </c>
      <c r="E17">
        <f>VLOOKUP(Table1[[#This Row],[TeamName]],MTeams!A:B,2,FALSE)</f>
        <v>1460</v>
      </c>
      <c r="G17">
        <f t="shared" si="0"/>
        <v>1</v>
      </c>
    </row>
    <row r="18" spans="1:7" x14ac:dyDescent="0.3">
      <c r="A18">
        <v>1</v>
      </c>
      <c r="B18">
        <v>1</v>
      </c>
      <c r="C18" t="s">
        <v>84</v>
      </c>
      <c r="D18" t="s">
        <v>109</v>
      </c>
      <c r="E18">
        <f>VLOOKUP(Table1[[#This Row],[TeamName]],MTeams!A:B,2,FALSE)</f>
        <v>1276</v>
      </c>
      <c r="G18">
        <f t="shared" si="0"/>
        <v>1</v>
      </c>
    </row>
    <row r="19" spans="1:7" x14ac:dyDescent="0.3">
      <c r="A19">
        <v>2</v>
      </c>
      <c r="B19">
        <v>16</v>
      </c>
      <c r="C19" t="s">
        <v>398</v>
      </c>
      <c r="D19" t="s">
        <v>109</v>
      </c>
      <c r="E19">
        <f>VLOOKUP(Table1[[#This Row],[TeamName]],MTeams!A:B,2,FALSE)</f>
        <v>1420</v>
      </c>
      <c r="F19" t="s">
        <v>250</v>
      </c>
      <c r="G19">
        <f t="shared" si="0"/>
        <v>1</v>
      </c>
    </row>
    <row r="20" spans="1:7" x14ac:dyDescent="0.3">
      <c r="A20">
        <v>3</v>
      </c>
      <c r="B20">
        <v>8</v>
      </c>
      <c r="C20" t="s">
        <v>374</v>
      </c>
      <c r="D20" t="s">
        <v>109</v>
      </c>
      <c r="E20">
        <f>VLOOKUP(Table1[[#This Row],[TeamName]],MTeams!A:B,2,FALSE)</f>
        <v>1387</v>
      </c>
      <c r="G20">
        <f t="shared" si="0"/>
        <v>1</v>
      </c>
    </row>
    <row r="21" spans="1:7" x14ac:dyDescent="0.3">
      <c r="A21">
        <v>4</v>
      </c>
      <c r="B21">
        <v>9</v>
      </c>
      <c r="C21" t="s">
        <v>105</v>
      </c>
      <c r="D21" t="s">
        <v>109</v>
      </c>
      <c r="E21">
        <f>VLOOKUP(Table1[[#This Row],[TeamName]],MTeams!A:B,2,FALSE)</f>
        <v>1395</v>
      </c>
      <c r="G21">
        <f t="shared" si="0"/>
        <v>1</v>
      </c>
    </row>
    <row r="22" spans="1:7" x14ac:dyDescent="0.3">
      <c r="A22">
        <v>5</v>
      </c>
      <c r="B22">
        <v>5</v>
      </c>
      <c r="C22" t="s">
        <v>99</v>
      </c>
      <c r="D22" t="s">
        <v>109</v>
      </c>
      <c r="E22">
        <f>VLOOKUP(Table1[[#This Row],[TeamName]],MTeams!A:B,2,FALSE)</f>
        <v>1397</v>
      </c>
      <c r="G22">
        <f t="shared" si="0"/>
        <v>1</v>
      </c>
    </row>
    <row r="23" spans="1:7" x14ac:dyDescent="0.3">
      <c r="A23">
        <v>6</v>
      </c>
      <c r="B23">
        <v>12</v>
      </c>
      <c r="C23" t="s">
        <v>88</v>
      </c>
      <c r="D23" t="s">
        <v>109</v>
      </c>
      <c r="E23">
        <f>VLOOKUP(Table1[[#This Row],[TeamName]],MTeams!A:B,2,FALSE)</f>
        <v>1251</v>
      </c>
      <c r="G23">
        <f t="shared" si="0"/>
        <v>1</v>
      </c>
    </row>
    <row r="24" spans="1:7" x14ac:dyDescent="0.3">
      <c r="A24">
        <v>7</v>
      </c>
      <c r="B24">
        <v>4</v>
      </c>
      <c r="C24" t="s">
        <v>89</v>
      </c>
      <c r="D24" t="s">
        <v>109</v>
      </c>
      <c r="E24">
        <f>VLOOKUP(Table1[[#This Row],[TeamName]],MTeams!A:B,2,FALSE)</f>
        <v>1438</v>
      </c>
      <c r="G24">
        <f t="shared" si="0"/>
        <v>1</v>
      </c>
    </row>
    <row r="25" spans="1:7" x14ac:dyDescent="0.3">
      <c r="A25">
        <v>8</v>
      </c>
      <c r="B25">
        <v>13</v>
      </c>
      <c r="C25" t="s">
        <v>288</v>
      </c>
      <c r="D25" t="s">
        <v>109</v>
      </c>
      <c r="E25">
        <f>VLOOKUP(Table1[[#This Row],[TeamName]],MTeams!A:B,2,FALSE)</f>
        <v>1295</v>
      </c>
      <c r="G25">
        <f t="shared" si="0"/>
        <v>1</v>
      </c>
    </row>
    <row r="26" spans="1:7" x14ac:dyDescent="0.3">
      <c r="A26">
        <v>9</v>
      </c>
      <c r="B26">
        <v>6</v>
      </c>
      <c r="C26" t="s">
        <v>91</v>
      </c>
      <c r="D26" t="s">
        <v>109</v>
      </c>
      <c r="E26">
        <f>VLOOKUP(Table1[[#This Row],[TeamName]],MTeams!A:B,2,FALSE)</f>
        <v>1314</v>
      </c>
      <c r="G26">
        <f t="shared" si="0"/>
        <v>1</v>
      </c>
    </row>
    <row r="27" spans="1:7" x14ac:dyDescent="0.3">
      <c r="A27">
        <v>10</v>
      </c>
      <c r="B27">
        <v>11</v>
      </c>
      <c r="C27" t="s">
        <v>410</v>
      </c>
      <c r="D27" t="s">
        <v>109</v>
      </c>
      <c r="E27">
        <f>VLOOKUP(Table1[[#This Row],[TeamName]],MTeams!A:B,2,FALSE)</f>
        <v>1433</v>
      </c>
      <c r="F27" t="s">
        <v>130</v>
      </c>
      <c r="G27">
        <f t="shared" si="0"/>
        <v>1</v>
      </c>
    </row>
    <row r="28" spans="1:7" x14ac:dyDescent="0.3">
      <c r="A28">
        <v>11</v>
      </c>
      <c r="B28">
        <v>3</v>
      </c>
      <c r="C28" t="s">
        <v>79</v>
      </c>
      <c r="D28" t="s">
        <v>109</v>
      </c>
      <c r="E28">
        <f>VLOOKUP(Table1[[#This Row],[TeamName]],MTeams!A:B,2,FALSE)</f>
        <v>1345</v>
      </c>
      <c r="G28">
        <f t="shared" si="0"/>
        <v>1</v>
      </c>
    </row>
    <row r="29" spans="1:7" x14ac:dyDescent="0.3">
      <c r="A29">
        <v>12</v>
      </c>
      <c r="B29">
        <v>14</v>
      </c>
      <c r="C29" t="s">
        <v>71</v>
      </c>
      <c r="D29" t="s">
        <v>109</v>
      </c>
      <c r="E29">
        <f>VLOOKUP(Table1[[#This Row],[TeamName]],MTeams!A:B,2,FALSE)</f>
        <v>1298</v>
      </c>
      <c r="G29">
        <f t="shared" si="0"/>
        <v>1</v>
      </c>
    </row>
    <row r="30" spans="1:7" x14ac:dyDescent="0.3">
      <c r="A30">
        <v>13</v>
      </c>
      <c r="B30">
        <v>7</v>
      </c>
      <c r="C30" t="s">
        <v>74</v>
      </c>
      <c r="D30" t="s">
        <v>109</v>
      </c>
      <c r="E30">
        <f>VLOOKUP(Table1[[#This Row],[TeamName]],MTeams!A:B,2,FALSE)</f>
        <v>1208</v>
      </c>
      <c r="G30">
        <f t="shared" si="0"/>
        <v>1</v>
      </c>
    </row>
    <row r="31" spans="1:7" x14ac:dyDescent="0.3">
      <c r="A31">
        <v>14</v>
      </c>
      <c r="B31">
        <v>10</v>
      </c>
      <c r="C31" t="s">
        <v>86</v>
      </c>
      <c r="D31" t="s">
        <v>109</v>
      </c>
      <c r="E31">
        <f>VLOOKUP(Table1[[#This Row],[TeamName]],MTeams!A:B,2,FALSE)</f>
        <v>1301</v>
      </c>
      <c r="G31">
        <f t="shared" si="0"/>
        <v>1</v>
      </c>
    </row>
    <row r="32" spans="1:7" x14ac:dyDescent="0.3">
      <c r="A32">
        <v>15</v>
      </c>
      <c r="B32">
        <v>2</v>
      </c>
      <c r="C32" t="s">
        <v>170</v>
      </c>
      <c r="D32" t="s">
        <v>109</v>
      </c>
      <c r="E32">
        <f>VLOOKUP(Table1[[#This Row],[TeamName]],MTeams!A:B,2,FALSE)</f>
        <v>1163</v>
      </c>
      <c r="G32">
        <f t="shared" si="0"/>
        <v>1</v>
      </c>
    </row>
    <row r="33" spans="1:7" x14ac:dyDescent="0.3">
      <c r="A33">
        <v>16</v>
      </c>
      <c r="B33">
        <v>15</v>
      </c>
      <c r="C33" t="s">
        <v>83</v>
      </c>
      <c r="D33" t="s">
        <v>109</v>
      </c>
      <c r="E33">
        <f>VLOOKUP(Table1[[#This Row],[TeamName]],MTeams!A:B,2,FALSE)</f>
        <v>1467</v>
      </c>
      <c r="G33">
        <f t="shared" si="0"/>
        <v>1</v>
      </c>
    </row>
    <row r="34" spans="1:7" x14ac:dyDescent="0.3">
      <c r="A34">
        <v>1</v>
      </c>
      <c r="B34">
        <v>1</v>
      </c>
      <c r="C34" t="s">
        <v>82</v>
      </c>
      <c r="D34" t="s">
        <v>108</v>
      </c>
      <c r="E34">
        <f>VLOOKUP(Table1[[#This Row],[TeamName]],MTeams!A:B,2,FALSE)</f>
        <v>1196</v>
      </c>
      <c r="G34">
        <f t="shared" ref="G34:G65" si="1">COUNTIF(E:E, E34)</f>
        <v>1</v>
      </c>
    </row>
    <row r="35" spans="1:7" x14ac:dyDescent="0.3">
      <c r="A35">
        <v>2</v>
      </c>
      <c r="B35">
        <v>16</v>
      </c>
      <c r="C35" t="s">
        <v>225</v>
      </c>
      <c r="D35" t="s">
        <v>108</v>
      </c>
      <c r="E35">
        <f>VLOOKUP(Table1[[#This Row],[TeamName]],MTeams!A:B,2,FALSE)</f>
        <v>1224</v>
      </c>
      <c r="F35" t="s">
        <v>135</v>
      </c>
      <c r="G35">
        <f t="shared" si="1"/>
        <v>1</v>
      </c>
    </row>
    <row r="36" spans="1:7" x14ac:dyDescent="0.3">
      <c r="A36">
        <v>3</v>
      </c>
      <c r="B36">
        <v>8</v>
      </c>
      <c r="C36" t="s">
        <v>269</v>
      </c>
      <c r="D36" t="s">
        <v>108</v>
      </c>
      <c r="E36">
        <f>VLOOKUP(Table1[[#This Row],[TeamName]],MTeams!A:B,2,FALSE)</f>
        <v>1274</v>
      </c>
      <c r="G36">
        <f t="shared" si="1"/>
        <v>1</v>
      </c>
    </row>
    <row r="37" spans="1:7" x14ac:dyDescent="0.3">
      <c r="A37">
        <v>4</v>
      </c>
      <c r="B37">
        <v>9</v>
      </c>
      <c r="C37" t="s">
        <v>315</v>
      </c>
      <c r="D37" t="s">
        <v>108</v>
      </c>
      <c r="E37">
        <f>VLOOKUP(Table1[[#This Row],[TeamName]],MTeams!A:B,2,FALSE)</f>
        <v>1326</v>
      </c>
      <c r="G37">
        <f t="shared" si="1"/>
        <v>1</v>
      </c>
    </row>
    <row r="38" spans="1:7" x14ac:dyDescent="0.3">
      <c r="A38">
        <v>5</v>
      </c>
      <c r="B38">
        <v>5</v>
      </c>
      <c r="C38" t="s">
        <v>75</v>
      </c>
      <c r="D38" t="s">
        <v>108</v>
      </c>
      <c r="E38">
        <f>VLOOKUP(Table1[[#This Row],[TeamName]],MTeams!A:B,2,FALSE)</f>
        <v>1116</v>
      </c>
      <c r="G38">
        <f t="shared" si="1"/>
        <v>1</v>
      </c>
    </row>
    <row r="39" spans="1:7" x14ac:dyDescent="0.3">
      <c r="A39">
        <v>6</v>
      </c>
      <c r="B39">
        <v>12</v>
      </c>
      <c r="C39" t="s">
        <v>365</v>
      </c>
      <c r="D39" t="s">
        <v>108</v>
      </c>
      <c r="E39">
        <f>VLOOKUP(Table1[[#This Row],[TeamName]],MTeams!A:B,2,FALSE)</f>
        <v>1378</v>
      </c>
      <c r="G39">
        <f t="shared" si="1"/>
        <v>1</v>
      </c>
    </row>
    <row r="40" spans="1:7" x14ac:dyDescent="0.3">
      <c r="A40">
        <v>7</v>
      </c>
      <c r="B40">
        <v>4</v>
      </c>
      <c r="C40" t="s">
        <v>70</v>
      </c>
      <c r="D40" t="s">
        <v>108</v>
      </c>
      <c r="E40">
        <f>VLOOKUP(Table1[[#This Row],[TeamName]],MTeams!A:B,2,FALSE)</f>
        <v>1242</v>
      </c>
      <c r="G40">
        <f t="shared" si="1"/>
        <v>1</v>
      </c>
    </row>
    <row r="41" spans="1:7" x14ac:dyDescent="0.3">
      <c r="A41">
        <v>8</v>
      </c>
      <c r="B41">
        <v>13</v>
      </c>
      <c r="C41" t="s">
        <v>102</v>
      </c>
      <c r="D41" t="s">
        <v>108</v>
      </c>
      <c r="E41">
        <f>VLOOKUP(Table1[[#This Row],[TeamName]],MTeams!A:B,2,FALSE)</f>
        <v>1423</v>
      </c>
      <c r="G41">
        <f t="shared" si="1"/>
        <v>1</v>
      </c>
    </row>
    <row r="42" spans="1:7" x14ac:dyDescent="0.3">
      <c r="A42">
        <v>9</v>
      </c>
      <c r="B42">
        <v>6</v>
      </c>
      <c r="C42" t="s">
        <v>103</v>
      </c>
      <c r="D42" t="s">
        <v>108</v>
      </c>
      <c r="E42">
        <f>VLOOKUP(Table1[[#This Row],[TeamName]],MTeams!A:B,2,FALSE)</f>
        <v>1257</v>
      </c>
      <c r="G42">
        <f t="shared" si="1"/>
        <v>1</v>
      </c>
    </row>
    <row r="43" spans="1:7" x14ac:dyDescent="0.3">
      <c r="A43">
        <v>10</v>
      </c>
      <c r="B43">
        <v>11</v>
      </c>
      <c r="C43" t="s">
        <v>85</v>
      </c>
      <c r="D43" t="s">
        <v>108</v>
      </c>
      <c r="E43">
        <f>VLOOKUP(Table1[[#This Row],[TeamName]],MTeams!A:B,2,FALSE)</f>
        <v>1416</v>
      </c>
      <c r="G43">
        <f t="shared" si="1"/>
        <v>1</v>
      </c>
    </row>
    <row r="44" spans="1:7" x14ac:dyDescent="0.3">
      <c r="A44">
        <v>11</v>
      </c>
      <c r="B44">
        <v>3</v>
      </c>
      <c r="C44" t="s">
        <v>92</v>
      </c>
      <c r="D44" t="s">
        <v>108</v>
      </c>
      <c r="E44">
        <f>VLOOKUP(Table1[[#This Row],[TeamName]],MTeams!A:B,2,FALSE)</f>
        <v>1304</v>
      </c>
      <c r="G44">
        <f t="shared" si="1"/>
        <v>1</v>
      </c>
    </row>
    <row r="45" spans="1:7" x14ac:dyDescent="0.3">
      <c r="A45">
        <v>12</v>
      </c>
      <c r="B45">
        <v>14</v>
      </c>
      <c r="C45" t="s">
        <v>196</v>
      </c>
      <c r="D45" t="s">
        <v>108</v>
      </c>
      <c r="E45">
        <f>VLOOKUP(Table1[[#This Row],[TeamName]],MTeams!A:B,2,FALSE)</f>
        <v>1190</v>
      </c>
      <c r="G45">
        <f t="shared" si="1"/>
        <v>1</v>
      </c>
    </row>
    <row r="46" spans="1:7" x14ac:dyDescent="0.3">
      <c r="A46">
        <v>13</v>
      </c>
      <c r="B46">
        <v>7</v>
      </c>
      <c r="C46" t="s">
        <v>375</v>
      </c>
      <c r="D46" t="s">
        <v>108</v>
      </c>
      <c r="E46">
        <f>VLOOKUP(Table1[[#This Row],[TeamName]],MTeams!A:B,2,FALSE)</f>
        <v>1388</v>
      </c>
      <c r="G46">
        <f t="shared" si="1"/>
        <v>1</v>
      </c>
    </row>
    <row r="47" spans="1:7" x14ac:dyDescent="0.3">
      <c r="A47">
        <v>14</v>
      </c>
      <c r="B47">
        <v>10</v>
      </c>
      <c r="C47" t="s">
        <v>95</v>
      </c>
      <c r="D47" t="s">
        <v>108</v>
      </c>
      <c r="E47">
        <f>VLOOKUP(Table1[[#This Row],[TeamName]],MTeams!A:B,2,FALSE)</f>
        <v>1400</v>
      </c>
      <c r="G47">
        <f t="shared" si="1"/>
        <v>1</v>
      </c>
    </row>
    <row r="48" spans="1:7" x14ac:dyDescent="0.3">
      <c r="A48">
        <v>15</v>
      </c>
      <c r="B48">
        <v>2</v>
      </c>
      <c r="C48" t="s">
        <v>96</v>
      </c>
      <c r="D48" t="s">
        <v>108</v>
      </c>
      <c r="E48">
        <f>VLOOKUP(Table1[[#This Row],[TeamName]],MTeams!A:B,2,FALSE)</f>
        <v>1222</v>
      </c>
      <c r="G48">
        <f t="shared" si="1"/>
        <v>1</v>
      </c>
    </row>
    <row r="49" spans="1:7" x14ac:dyDescent="0.3">
      <c r="A49">
        <v>16</v>
      </c>
      <c r="B49">
        <v>15</v>
      </c>
      <c r="C49" t="s">
        <v>154</v>
      </c>
      <c r="D49" t="s">
        <v>108</v>
      </c>
      <c r="E49">
        <f>VLOOKUP(Table1[[#This Row],[TeamName]],MTeams!A:B,2,FALSE)</f>
        <v>1146</v>
      </c>
      <c r="G49">
        <f t="shared" si="1"/>
        <v>1</v>
      </c>
    </row>
    <row r="50" spans="1:7" x14ac:dyDescent="0.3">
      <c r="A50">
        <v>1</v>
      </c>
      <c r="B50">
        <v>1</v>
      </c>
      <c r="C50" t="s">
        <v>63</v>
      </c>
      <c r="D50" t="s">
        <v>107</v>
      </c>
      <c r="E50">
        <f>VLOOKUP(Table1[[#This Row],[TeamName]],MTeams!A:B,2,FALSE)</f>
        <v>1112</v>
      </c>
      <c r="G50">
        <f t="shared" si="1"/>
        <v>1</v>
      </c>
    </row>
    <row r="51" spans="1:7" x14ac:dyDescent="0.3">
      <c r="A51">
        <v>2</v>
      </c>
      <c r="B51">
        <v>16</v>
      </c>
      <c r="C51" t="s">
        <v>329</v>
      </c>
      <c r="D51" t="s">
        <v>107</v>
      </c>
      <c r="E51">
        <f>VLOOKUP(Table1[[#This Row],[TeamName]],MTeams!A:B,2,FALSE)</f>
        <v>1340</v>
      </c>
      <c r="G51">
        <f t="shared" si="1"/>
        <v>1</v>
      </c>
    </row>
    <row r="52" spans="1:7" x14ac:dyDescent="0.3">
      <c r="A52">
        <v>3</v>
      </c>
      <c r="B52">
        <v>8</v>
      </c>
      <c r="C52" t="s">
        <v>64</v>
      </c>
      <c r="D52" t="s">
        <v>107</v>
      </c>
      <c r="E52">
        <f>VLOOKUP(Table1[[#This Row],[TeamName]],MTeams!A:B,2,FALSE)</f>
        <v>1155</v>
      </c>
      <c r="G52">
        <f t="shared" si="1"/>
        <v>1</v>
      </c>
    </row>
    <row r="53" spans="1:7" x14ac:dyDescent="0.3">
      <c r="A53">
        <v>4</v>
      </c>
      <c r="B53">
        <v>9</v>
      </c>
      <c r="C53" t="s">
        <v>81</v>
      </c>
      <c r="D53" t="s">
        <v>107</v>
      </c>
      <c r="E53">
        <f>VLOOKUP(Table1[[#This Row],[TeamName]],MTeams!A:B,2,FALSE)</f>
        <v>1417</v>
      </c>
      <c r="G53">
        <f t="shared" si="1"/>
        <v>1</v>
      </c>
    </row>
    <row r="54" spans="1:7" x14ac:dyDescent="0.3">
      <c r="A54">
        <v>5</v>
      </c>
      <c r="B54">
        <v>5</v>
      </c>
      <c r="C54" t="s">
        <v>87</v>
      </c>
      <c r="D54" t="s">
        <v>107</v>
      </c>
      <c r="E54">
        <f>VLOOKUP(Table1[[#This Row],[TeamName]],MTeams!A:B,2,FALSE)</f>
        <v>1435</v>
      </c>
      <c r="G54">
        <f t="shared" si="1"/>
        <v>1</v>
      </c>
    </row>
    <row r="55" spans="1:7" x14ac:dyDescent="0.3">
      <c r="A55">
        <v>6</v>
      </c>
      <c r="B55">
        <v>12</v>
      </c>
      <c r="C55" t="s">
        <v>68</v>
      </c>
      <c r="D55" t="s">
        <v>107</v>
      </c>
      <c r="E55">
        <f>VLOOKUP(Table1[[#This Row],[TeamName]],MTeams!A:B,2,FALSE)</f>
        <v>1219</v>
      </c>
      <c r="G55">
        <f t="shared" si="1"/>
        <v>1</v>
      </c>
    </row>
    <row r="56" spans="1:7" x14ac:dyDescent="0.3">
      <c r="A56">
        <v>7</v>
      </c>
      <c r="B56">
        <v>4</v>
      </c>
      <c r="C56" t="s">
        <v>76</v>
      </c>
      <c r="D56" t="s">
        <v>107</v>
      </c>
      <c r="E56">
        <f>VLOOKUP(Table1[[#This Row],[TeamName]],MTeams!A:B,2,FALSE)</f>
        <v>1403</v>
      </c>
      <c r="G56">
        <f t="shared" si="1"/>
        <v>1</v>
      </c>
    </row>
    <row r="57" spans="1:7" x14ac:dyDescent="0.3">
      <c r="A57">
        <v>8</v>
      </c>
      <c r="B57">
        <v>13</v>
      </c>
      <c r="C57" t="s">
        <v>90</v>
      </c>
      <c r="D57" t="s">
        <v>107</v>
      </c>
      <c r="E57">
        <f>VLOOKUP(Table1[[#This Row],[TeamName]],MTeams!A:B,2,FALSE)</f>
        <v>1465</v>
      </c>
      <c r="G57">
        <f t="shared" si="1"/>
        <v>1</v>
      </c>
    </row>
    <row r="58" spans="1:7" x14ac:dyDescent="0.3">
      <c r="A58">
        <v>9</v>
      </c>
      <c r="B58">
        <v>6</v>
      </c>
      <c r="C58" t="s">
        <v>69</v>
      </c>
      <c r="D58" t="s">
        <v>107</v>
      </c>
      <c r="E58">
        <f>VLOOKUP(Table1[[#This Row],[TeamName]],MTeams!A:B,2,FALSE)</f>
        <v>1246</v>
      </c>
      <c r="G58">
        <f t="shared" si="1"/>
        <v>1</v>
      </c>
    </row>
    <row r="59" spans="1:7" x14ac:dyDescent="0.3">
      <c r="A59">
        <v>10</v>
      </c>
      <c r="B59">
        <v>11</v>
      </c>
      <c r="C59" t="s">
        <v>270</v>
      </c>
      <c r="D59" t="s">
        <v>107</v>
      </c>
      <c r="E59">
        <f>VLOOKUP(Table1[[#This Row],[TeamName]],MTeams!A:B,2,FALSE)</f>
        <v>1275</v>
      </c>
      <c r="G59">
        <f t="shared" si="1"/>
        <v>1</v>
      </c>
    </row>
    <row r="60" spans="1:7" x14ac:dyDescent="0.3">
      <c r="A60">
        <v>11</v>
      </c>
      <c r="B60">
        <v>3</v>
      </c>
      <c r="C60" t="s">
        <v>101</v>
      </c>
      <c r="D60" t="s">
        <v>107</v>
      </c>
      <c r="E60">
        <f>VLOOKUP(Table1[[#This Row],[TeamName]],MTeams!A:B,2,FALSE)</f>
        <v>1211</v>
      </c>
      <c r="G60">
        <f t="shared" si="1"/>
        <v>1</v>
      </c>
    </row>
    <row r="61" spans="1:7" x14ac:dyDescent="0.3">
      <c r="A61">
        <v>12</v>
      </c>
      <c r="B61">
        <v>14</v>
      </c>
      <c r="C61" t="s">
        <v>93</v>
      </c>
      <c r="D61" t="s">
        <v>107</v>
      </c>
      <c r="E61">
        <f>VLOOKUP(Table1[[#This Row],[TeamName]],MTeams!A:B,2,FALSE)</f>
        <v>1414</v>
      </c>
      <c r="G61">
        <f t="shared" si="1"/>
        <v>1</v>
      </c>
    </row>
    <row r="62" spans="1:7" x14ac:dyDescent="0.3">
      <c r="A62">
        <v>13</v>
      </c>
      <c r="B62">
        <v>7</v>
      </c>
      <c r="C62" t="s">
        <v>77</v>
      </c>
      <c r="D62" t="s">
        <v>107</v>
      </c>
      <c r="E62">
        <f>VLOOKUP(Table1[[#This Row],[TeamName]],MTeams!A:B,2,FALSE)</f>
        <v>1140</v>
      </c>
      <c r="G62">
        <f t="shared" si="1"/>
        <v>1</v>
      </c>
    </row>
    <row r="63" spans="1:7" x14ac:dyDescent="0.3">
      <c r="A63">
        <v>14</v>
      </c>
      <c r="B63">
        <v>10</v>
      </c>
      <c r="C63" t="s">
        <v>78</v>
      </c>
      <c r="D63" t="s">
        <v>107</v>
      </c>
      <c r="E63">
        <f>VLOOKUP(Table1[[#This Row],[TeamName]],MTeams!A:B,2,FALSE)</f>
        <v>1401</v>
      </c>
      <c r="G63">
        <f t="shared" si="1"/>
        <v>1</v>
      </c>
    </row>
    <row r="64" spans="1:7" x14ac:dyDescent="0.3">
      <c r="A64">
        <v>15</v>
      </c>
      <c r="B64">
        <v>2</v>
      </c>
      <c r="C64" t="s">
        <v>73</v>
      </c>
      <c r="D64" t="s">
        <v>107</v>
      </c>
      <c r="E64">
        <f>VLOOKUP(Table1[[#This Row],[TeamName]],MTeams!A:B,2,FALSE)</f>
        <v>1228</v>
      </c>
      <c r="G64">
        <f t="shared" si="1"/>
        <v>1</v>
      </c>
    </row>
    <row r="65" spans="1:7" x14ac:dyDescent="0.3">
      <c r="A65">
        <v>16</v>
      </c>
      <c r="B65">
        <v>15</v>
      </c>
      <c r="C65" t="s">
        <v>228</v>
      </c>
      <c r="D65" t="s">
        <v>107</v>
      </c>
      <c r="E65">
        <f>VLOOKUP(Table1[[#This Row],[TeamName]],MTeams!A:B,2,FALSE)</f>
        <v>1227</v>
      </c>
      <c r="G65">
        <f t="shared" si="1"/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4671-0675-45F2-AA18-5A598D50A0F3}">
  <dimension ref="A1:C65"/>
  <sheetViews>
    <sheetView workbookViewId="0">
      <selection activeCell="C49" sqref="C49"/>
    </sheetView>
  </sheetViews>
  <sheetFormatPr defaultRowHeight="14.4" x14ac:dyDescent="0.3"/>
  <cols>
    <col min="1" max="1" width="10.21875" customWidth="1"/>
    <col min="3" max="3" width="11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2026</v>
      </c>
      <c r="B2" t="s">
        <v>3</v>
      </c>
      <c r="C2" cm="1">
        <f t="array" ref="C2">_xlfn.XLOOKUP(
    _xlfn.SWITCH(LEFT(B2,1), "W", "East", "X", "South", "Y", "Midwest", "Z", "West") &amp; "|" &amp; IF(MID(B2,2,1)="0", MID(B2,3,2), MID(B2,2,3)),
    'Mens Seeding'!$D$2:$D$100 &amp; "|" &amp; 'Mens Seeding'!$B$2:$B$100,
    'Mens Seeding'!$E$2:$E$100,
    "Not Found"
)</f>
        <v>1181</v>
      </c>
    </row>
    <row r="3" spans="1:3" x14ac:dyDescent="0.3">
      <c r="A3">
        <v>2026</v>
      </c>
      <c r="B3" t="s">
        <v>4</v>
      </c>
      <c r="C3" cm="1">
        <f t="array" ref="C3">_xlfn.XLOOKUP(
    _xlfn.SWITCH(LEFT(B3,1), "W", "East", "X", "South", "Y", "Midwest", "Z", "West") &amp; "|" &amp; IF(MID(B3,2,1)="0", MID(B3,3,2), MID(B3,2,3)),
    'Mens Seeding'!$D$2:$D$100 &amp; "|" &amp; 'Mens Seeding'!$B$2:$B$100,
    'Mens Seeding'!$E$2:$E$100,
    "Not Found"
)</f>
        <v>1277</v>
      </c>
    </row>
    <row r="4" spans="1:3" x14ac:dyDescent="0.3">
      <c r="A4">
        <v>2026</v>
      </c>
      <c r="B4" t="s">
        <v>5</v>
      </c>
      <c r="C4" cm="1">
        <f t="array" ref="C4">_xlfn.XLOOKUP(
    _xlfn.SWITCH(LEFT(B4,1), "W", "East", "X", "South", "Y", "Midwest", "Z", "West") &amp; "|" &amp; IF(MID(B4,2,1)="0", MID(B4,3,2), MID(B4,2,3)),
    'Mens Seeding'!$D$2:$D$100 &amp; "|" &amp; 'Mens Seeding'!$B$2:$B$100,
    'Mens Seeding'!$E$2:$E$100,
    "Not Found"
)</f>
        <v>1235</v>
      </c>
    </row>
    <row r="5" spans="1:3" x14ac:dyDescent="0.3">
      <c r="A5">
        <v>2026</v>
      </c>
      <c r="B5" t="s">
        <v>6</v>
      </c>
      <c r="C5" cm="1">
        <f t="array" ref="C5">_xlfn.XLOOKUP(
    _xlfn.SWITCH(LEFT(B5,1), "W", "East", "X", "South", "Y", "Midwest", "Z", "West") &amp; "|" &amp; IF(MID(B5,2,1)="0", MID(B5,3,2), MID(B5,2,3)),
    'Mens Seeding'!$D$2:$D$100 &amp; "|" &amp; 'Mens Seeding'!$B$2:$B$100,
    'Mens Seeding'!$E$2:$E$100,
    "Not Found"
)</f>
        <v>1104</v>
      </c>
    </row>
    <row r="6" spans="1:3" x14ac:dyDescent="0.3">
      <c r="A6">
        <v>2026</v>
      </c>
      <c r="B6" t="s">
        <v>7</v>
      </c>
      <c r="C6" cm="1">
        <f t="array" ref="C6">_xlfn.XLOOKUP(
    _xlfn.SWITCH(LEFT(B6,1), "W", "East", "X", "South", "Y", "Midwest", "Z", "West") &amp; "|" &amp; IF(MID(B6,2,1)="0", MID(B6,3,2), MID(B6,2,3)),
    'Mens Seeding'!$D$2:$D$100 &amp; "|" &amp; 'Mens Seeding'!$B$2:$B$100,
    'Mens Seeding'!$E$2:$E$100,
    "Not Found"
)</f>
        <v>1385</v>
      </c>
    </row>
    <row r="7" spans="1:3" x14ac:dyDescent="0.3">
      <c r="A7">
        <v>2026</v>
      </c>
      <c r="B7" t="s">
        <v>8</v>
      </c>
      <c r="C7" cm="1">
        <f t="array" ref="C7">_xlfn.XLOOKUP(
    _xlfn.SWITCH(LEFT(B7,1), "W", "East", "X", "South", "Y", "Midwest", "Z", "West") &amp; "|" &amp; IF(MID(B7,2,1)="0", MID(B7,3,2), MID(B7,2,3)),
    'Mens Seeding'!$D$2:$D$100 &amp; "|" &amp; 'Mens Seeding'!$B$2:$B$100,
    'Mens Seeding'!$E$2:$E$100,
    "Not Found"
)</f>
        <v>1458</v>
      </c>
    </row>
    <row r="8" spans="1:3" x14ac:dyDescent="0.3">
      <c r="A8">
        <v>2026</v>
      </c>
      <c r="B8" t="s">
        <v>9</v>
      </c>
      <c r="C8" cm="1">
        <f t="array" ref="C8">_xlfn.XLOOKUP(
    _xlfn.SWITCH(LEFT(B8,1), "W", "East", "X", "South", "Y", "Midwest", "Z", "West") &amp; "|" &amp; IF(MID(B8,2,1)="0", MID(B8,3,2), MID(B8,2,3)),
    'Mens Seeding'!$D$2:$D$100 &amp; "|" &amp; 'Mens Seeding'!$B$2:$B$100,
    'Mens Seeding'!$E$2:$E$100,
    "Not Found"
)</f>
        <v>1437</v>
      </c>
    </row>
    <row r="9" spans="1:3" x14ac:dyDescent="0.3">
      <c r="A9">
        <v>2026</v>
      </c>
      <c r="B9" t="s">
        <v>10</v>
      </c>
      <c r="C9" cm="1">
        <f t="array" ref="C9">_xlfn.XLOOKUP(
    _xlfn.SWITCH(LEFT(B9,1), "W", "East", "X", "South", "Y", "Midwest", "Z", "West") &amp; "|" &amp; IF(MID(B9,2,1)="0", MID(B9,3,2), MID(B9,2,3)),
    'Mens Seeding'!$D$2:$D$100 &amp; "|" &amp; 'Mens Seeding'!$B$2:$B$100,
    'Mens Seeding'!$E$2:$E$100,
    "Not Found"
)</f>
        <v>1429</v>
      </c>
    </row>
    <row r="10" spans="1:3" x14ac:dyDescent="0.3">
      <c r="A10">
        <v>2026</v>
      </c>
      <c r="B10" t="s">
        <v>11</v>
      </c>
      <c r="C10" cm="1">
        <f t="array" ref="C10">_xlfn.XLOOKUP(
    _xlfn.SWITCH(LEFT(B10,1), "W", "East", "X", "South", "Y", "Midwest", "Z", "West") &amp; "|" &amp; IF(MID(B10,2,1)="0", MID(B10,3,2), MID(B10,2,3)),
    'Mens Seeding'!$D$2:$D$100 &amp; "|" &amp; 'Mens Seeding'!$B$2:$B$100,
    'Mens Seeding'!$E$2:$E$100,
    "Not Found"
)</f>
        <v>1234</v>
      </c>
    </row>
    <row r="11" spans="1:3" x14ac:dyDescent="0.3">
      <c r="A11">
        <v>2026</v>
      </c>
      <c r="B11" t="s">
        <v>12</v>
      </c>
      <c r="C11" cm="1">
        <f t="array" ref="C11">_xlfn.XLOOKUP(
    _xlfn.SWITCH(LEFT(B11,1), "W", "East", "X", "South", "Y", "Midwest", "Z", "West") &amp; "|" &amp; IF(MID(B11,2,1)="0", MID(B11,3,2), MID(B11,2,3)),
    'Mens Seeding'!$D$2:$D$100 &amp; "|" &amp; 'Mens Seeding'!$B$2:$B$100,
    'Mens Seeding'!$E$2:$E$100,
    "Not Found"
)</f>
        <v>1281</v>
      </c>
    </row>
    <row r="12" spans="1:3" x14ac:dyDescent="0.3">
      <c r="A12">
        <v>2026</v>
      </c>
      <c r="B12" t="s">
        <v>13</v>
      </c>
      <c r="C12" cm="1">
        <f t="array" ref="C12">_xlfn.XLOOKUP(
    _xlfn.SWITCH(LEFT(B12,1), "W", "East", "X", "South", "Y", "Midwest", "Z", "West") &amp; "|" &amp; IF(MID(B12,2,1)="0", MID(B12,3,2), MID(B12,2,3)),
    'Mens Seeding'!$D$2:$D$100 &amp; "|" &amp; 'Mens Seeding'!$B$2:$B$100,
    'Mens Seeding'!$E$2:$E$100,
    "Not Found"
)</f>
        <v>1365</v>
      </c>
    </row>
    <row r="13" spans="1:3" x14ac:dyDescent="0.3">
      <c r="A13">
        <v>2026</v>
      </c>
      <c r="B13" t="s">
        <v>14</v>
      </c>
      <c r="C13" cm="1">
        <f t="array" ref="C13">_xlfn.XLOOKUP(
    _xlfn.SWITCH(LEFT(B13,1), "W", "East", "X", "South", "Y", "Midwest", "Z", "West") &amp; "|" &amp; IF(MID(B13,2,1)="0", MID(B13,3,2), MID(B13,2,3)),
    'Mens Seeding'!$D$2:$D$100 &amp; "|" &amp; 'Mens Seeding'!$B$2:$B$100,
    'Mens Seeding'!$E$2:$E$100,
    "Not Found"
)</f>
        <v>1463</v>
      </c>
    </row>
    <row r="14" spans="1:3" x14ac:dyDescent="0.3">
      <c r="A14">
        <v>2026</v>
      </c>
      <c r="B14" t="s">
        <v>15</v>
      </c>
      <c r="C14" cm="1">
        <f t="array" ref="C14">_xlfn.XLOOKUP(
    _xlfn.SWITCH(LEFT(B14,1), "W", "East", "X", "South", "Y", "Midwest", "Z", "West") &amp; "|" &amp; IF(MID(B14,2,1)="0", MID(B14,3,2), MID(B14,2,3)),
    'Mens Seeding'!$D$2:$D$100 &amp; "|" &amp; 'Mens Seeding'!$B$2:$B$100,
    'Mens Seeding'!$E$2:$E$100,
    "Not Found"
)</f>
        <v>1372</v>
      </c>
    </row>
    <row r="15" spans="1:3" x14ac:dyDescent="0.3">
      <c r="A15">
        <v>2026</v>
      </c>
      <c r="B15" t="s">
        <v>16</v>
      </c>
      <c r="C15" cm="1">
        <f t="array" ref="C15">_xlfn.XLOOKUP(
    _xlfn.SWITCH(LEFT(B15,1), "W", "East", "X", "South", "Y", "Midwest", "Z", "West") &amp; "|" &amp; IF(MID(B15,2,1)="0", MID(B15,3,2), MID(B15,2,3)),
    'Mens Seeding'!$D$2:$D$100 &amp; "|" &amp; 'Mens Seeding'!$B$2:$B$100,
    'Mens Seeding'!$E$2:$E$100,
    "Not Found"
)</f>
        <v>1407</v>
      </c>
    </row>
    <row r="16" spans="1:3" x14ac:dyDescent="0.3">
      <c r="A16">
        <v>2026</v>
      </c>
      <c r="B16" t="s">
        <v>17</v>
      </c>
      <c r="C16" cm="1">
        <f t="array" ref="C16">_xlfn.XLOOKUP(
    _xlfn.SWITCH(LEFT(B16,1), "W", "East", "X", "South", "Y", "Midwest", "Z", "West") &amp; "|" &amp; IF(MID(B16,2,1)="0", MID(B16,3,2), MID(B16,2,3)),
    'Mens Seeding'!$D$2:$D$100 &amp; "|" &amp; 'Mens Seeding'!$B$2:$B$100,
    'Mens Seeding'!$E$2:$E$100,
    "Not Found"
)</f>
        <v>1460</v>
      </c>
    </row>
    <row r="17" spans="1:3" x14ac:dyDescent="0.3">
      <c r="A17">
        <v>2026</v>
      </c>
      <c r="B17" t="s">
        <v>18</v>
      </c>
      <c r="C17" cm="1">
        <f t="array" ref="C17">_xlfn.XLOOKUP(
    _xlfn.SWITCH(LEFT(B17,1), "W", "East", "X", "South", "Y", "Midwest", "Z", "West") &amp; "|" &amp; IF(MID(B17,2,1)="0", MID(B17,3,2), MID(B17,2,3)),
    'Mens Seeding'!$D$2:$D$100 &amp; "|" &amp; 'Mens Seeding'!$B$2:$B$100,
    'Mens Seeding'!$E$2:$E$100,
    "Not Found"
)</f>
        <v>1398</v>
      </c>
    </row>
    <row r="18" spans="1:3" x14ac:dyDescent="0.3">
      <c r="A18">
        <v>2026</v>
      </c>
      <c r="B18" t="s">
        <v>19</v>
      </c>
      <c r="C18" cm="1">
        <f t="array" ref="C18">_xlfn.XLOOKUP(
    _xlfn.SWITCH(LEFT(B18,1), "W", "East", "X", "South", "Y", "Midwest", "Z", "West") &amp; "|" &amp; IF(MID(B18,2,1)="0", MID(B18,3,2), MID(B18,2,3)),
    'Mens Seeding'!$D$2:$D$100 &amp; "|" &amp; 'Mens Seeding'!$B$2:$B$100,
    'Mens Seeding'!$E$2:$E$100,
    "Not Found"
)</f>
        <v>1196</v>
      </c>
    </row>
    <row r="19" spans="1:3" x14ac:dyDescent="0.3">
      <c r="A19">
        <v>2026</v>
      </c>
      <c r="B19" t="s">
        <v>20</v>
      </c>
      <c r="C19" cm="1">
        <f t="array" ref="C19">_xlfn.XLOOKUP(
    _xlfn.SWITCH(LEFT(B19,1), "W", "East", "X", "South", "Y", "Midwest", "Z", "West") &amp; "|" &amp; IF(MID(B19,2,1)="0", MID(B19,3,2), MID(B19,2,3)),
    'Mens Seeding'!$D$2:$D$100 &amp; "|" &amp; 'Mens Seeding'!$B$2:$B$100,
    'Mens Seeding'!$E$2:$E$100,
    "Not Found"
)</f>
        <v>1222</v>
      </c>
    </row>
    <row r="20" spans="1:3" x14ac:dyDescent="0.3">
      <c r="A20">
        <v>2026</v>
      </c>
      <c r="B20" t="s">
        <v>21</v>
      </c>
      <c r="C20" cm="1">
        <f t="array" ref="C20">_xlfn.XLOOKUP(
    _xlfn.SWITCH(LEFT(B20,1), "W", "East", "X", "South", "Y", "Midwest", "Z", "West") &amp; "|" &amp; IF(MID(B20,2,1)="0", MID(B20,3,2), MID(B20,2,3)),
    'Mens Seeding'!$D$2:$D$100 &amp; "|" &amp; 'Mens Seeding'!$B$2:$B$100,
    'Mens Seeding'!$E$2:$E$100,
    "Not Found"
)</f>
        <v>1304</v>
      </c>
    </row>
    <row r="21" spans="1:3" x14ac:dyDescent="0.3">
      <c r="A21">
        <v>2026</v>
      </c>
      <c r="B21" t="s">
        <v>22</v>
      </c>
      <c r="C21" cm="1">
        <f t="array" ref="C21">_xlfn.XLOOKUP(
    _xlfn.SWITCH(LEFT(B21,1), "W", "East", "X", "South", "Y", "Midwest", "Z", "West") &amp; "|" &amp; IF(MID(B21,2,1)="0", MID(B21,3,2), MID(B21,2,3)),
    'Mens Seeding'!$D$2:$D$100 &amp; "|" &amp; 'Mens Seeding'!$B$2:$B$100,
    'Mens Seeding'!$E$2:$E$100,
    "Not Found"
)</f>
        <v>1242</v>
      </c>
    </row>
    <row r="22" spans="1:3" x14ac:dyDescent="0.3">
      <c r="A22">
        <v>2026</v>
      </c>
      <c r="B22" t="s">
        <v>23</v>
      </c>
      <c r="C22" cm="1">
        <f t="array" ref="C22">_xlfn.XLOOKUP(
    _xlfn.SWITCH(LEFT(B22,1), "W", "East", "X", "South", "Y", "Midwest", "Z", "West") &amp; "|" &amp; IF(MID(B22,2,1)="0", MID(B22,3,2), MID(B22,2,3)),
    'Mens Seeding'!$D$2:$D$100 &amp; "|" &amp; 'Mens Seeding'!$B$2:$B$100,
    'Mens Seeding'!$E$2:$E$100,
    "Not Found"
)</f>
        <v>1116</v>
      </c>
    </row>
    <row r="23" spans="1:3" x14ac:dyDescent="0.3">
      <c r="A23">
        <v>2026</v>
      </c>
      <c r="B23" t="s">
        <v>24</v>
      </c>
      <c r="C23" cm="1">
        <f t="array" ref="C23">_xlfn.XLOOKUP(
    _xlfn.SWITCH(LEFT(B23,1), "W", "East", "X", "South", "Y", "Midwest", "Z", "West") &amp; "|" &amp; IF(MID(B23,2,1)="0", MID(B23,3,2), MID(B23,2,3)),
    'Mens Seeding'!$D$2:$D$100 &amp; "|" &amp; 'Mens Seeding'!$B$2:$B$100,
    'Mens Seeding'!$E$2:$E$100,
    "Not Found"
)</f>
        <v>1257</v>
      </c>
    </row>
    <row r="24" spans="1:3" x14ac:dyDescent="0.3">
      <c r="A24">
        <v>2026</v>
      </c>
      <c r="B24" t="s">
        <v>25</v>
      </c>
      <c r="C24" cm="1">
        <f t="array" ref="C24">_xlfn.XLOOKUP(
    _xlfn.SWITCH(LEFT(B24,1), "W", "East", "X", "South", "Y", "Midwest", "Z", "West") &amp; "|" &amp; IF(MID(B24,2,1)="0", MID(B24,3,2), MID(B24,2,3)),
    'Mens Seeding'!$D$2:$D$100 &amp; "|" &amp; 'Mens Seeding'!$B$2:$B$100,
    'Mens Seeding'!$E$2:$E$100,
    "Not Found"
)</f>
        <v>1388</v>
      </c>
    </row>
    <row r="25" spans="1:3" x14ac:dyDescent="0.3">
      <c r="A25">
        <v>2026</v>
      </c>
      <c r="B25" t="s">
        <v>26</v>
      </c>
      <c r="C25" cm="1">
        <f t="array" ref="C25">_xlfn.XLOOKUP(
    _xlfn.SWITCH(LEFT(B25,1), "W", "East", "X", "South", "Y", "Midwest", "Z", "West") &amp; "|" &amp; IF(MID(B25,2,1)="0", MID(B25,3,2), MID(B25,2,3)),
    'Mens Seeding'!$D$2:$D$100 &amp; "|" &amp; 'Mens Seeding'!$B$2:$B$100,
    'Mens Seeding'!$E$2:$E$100,
    "Not Found"
)</f>
        <v>1274</v>
      </c>
    </row>
    <row r="26" spans="1:3" x14ac:dyDescent="0.3">
      <c r="A26">
        <v>2026</v>
      </c>
      <c r="B26" t="s">
        <v>27</v>
      </c>
      <c r="C26" cm="1">
        <f t="array" ref="C26">_xlfn.XLOOKUP(
    _xlfn.SWITCH(LEFT(B26,1), "W", "East", "X", "South", "Y", "Midwest", "Z", "West") &amp; "|" &amp; IF(MID(B26,2,1)="0", MID(B26,3,2), MID(B26,2,3)),
    'Mens Seeding'!$D$2:$D$100 &amp; "|" &amp; 'Mens Seeding'!$B$2:$B$100,
    'Mens Seeding'!$E$2:$E$100,
    "Not Found"
)</f>
        <v>1326</v>
      </c>
    </row>
    <row r="27" spans="1:3" x14ac:dyDescent="0.3">
      <c r="A27">
        <v>2026</v>
      </c>
      <c r="B27" t="s">
        <v>28</v>
      </c>
      <c r="C27" cm="1">
        <f t="array" ref="C27">_xlfn.XLOOKUP(
    _xlfn.SWITCH(LEFT(B27,1), "W", "East", "X", "South", "Y", "Midwest", "Z", "West") &amp; "|" &amp; IF(MID(B27,2,1)="0", MID(B27,3,2), MID(B27,2,3)),
    'Mens Seeding'!$D$2:$D$100 &amp; "|" &amp; 'Mens Seeding'!$B$2:$B$100,
    'Mens Seeding'!$E$2:$E$100,
    "Not Found"
)</f>
        <v>1400</v>
      </c>
    </row>
    <row r="28" spans="1:3" x14ac:dyDescent="0.3">
      <c r="A28">
        <v>2026</v>
      </c>
      <c r="B28" t="s">
        <v>29</v>
      </c>
      <c r="C28" cm="1">
        <f t="array" ref="C28">_xlfn.XLOOKUP(
    _xlfn.SWITCH(LEFT(B28,1), "W", "East", "X", "South", "Y", "Midwest", "Z", "West") &amp; "|" &amp; IF(MID(B28,2,1)="0", MID(B28,3,2), MID(B28,2,3)),
    'Mens Seeding'!$D$2:$D$100 &amp; "|" &amp; 'Mens Seeding'!$B$2:$B$100,
    'Mens Seeding'!$E$2:$E$100,
    "Not Found"
)</f>
        <v>1416</v>
      </c>
    </row>
    <row r="29" spans="1:3" x14ac:dyDescent="0.3">
      <c r="A29">
        <v>2026</v>
      </c>
      <c r="B29" t="s">
        <v>30</v>
      </c>
      <c r="C29" cm="1">
        <f t="array" ref="C29">_xlfn.XLOOKUP(
    _xlfn.SWITCH(LEFT(B29,1), "W", "East", "X", "South", "Y", "Midwest", "Z", "West") &amp; "|" &amp; IF(MID(B29,2,1)="0", MID(B29,3,2), MID(B29,2,3)),
    'Mens Seeding'!$D$2:$D$100 &amp; "|" &amp; 'Mens Seeding'!$B$2:$B$100,
    'Mens Seeding'!$E$2:$E$100,
    "Not Found"
)</f>
        <v>1378</v>
      </c>
    </row>
    <row r="30" spans="1:3" x14ac:dyDescent="0.3">
      <c r="A30">
        <v>2026</v>
      </c>
      <c r="B30" t="s">
        <v>31</v>
      </c>
      <c r="C30" cm="1">
        <f t="array" ref="C30">_xlfn.XLOOKUP(
    _xlfn.SWITCH(LEFT(B30,1), "W", "East", "X", "South", "Y", "Midwest", "Z", "West") &amp; "|" &amp; IF(MID(B30,2,1)="0", MID(B30,3,2), MID(B30,2,3)),
    'Mens Seeding'!$D$2:$D$100 &amp; "|" &amp; 'Mens Seeding'!$B$2:$B$100,
    'Mens Seeding'!$E$2:$E$100,
    "Not Found"
)</f>
        <v>1423</v>
      </c>
    </row>
    <row r="31" spans="1:3" x14ac:dyDescent="0.3">
      <c r="A31">
        <v>2026</v>
      </c>
      <c r="B31" t="s">
        <v>32</v>
      </c>
      <c r="C31" cm="1">
        <f t="array" ref="C31">_xlfn.XLOOKUP(
    _xlfn.SWITCH(LEFT(B31,1), "W", "East", "X", "South", "Y", "Midwest", "Z", "West") &amp; "|" &amp; IF(MID(B31,2,1)="0", MID(B31,3,2), MID(B31,2,3)),
    'Mens Seeding'!$D$2:$D$100 &amp; "|" &amp; 'Mens Seeding'!$B$2:$B$100,
    'Mens Seeding'!$E$2:$E$100,
    "Not Found"
)</f>
        <v>1190</v>
      </c>
    </row>
    <row r="32" spans="1:3" x14ac:dyDescent="0.3">
      <c r="A32">
        <v>2026</v>
      </c>
      <c r="B32" t="s">
        <v>33</v>
      </c>
      <c r="C32" cm="1">
        <f t="array" ref="C32">_xlfn.XLOOKUP(
    _xlfn.SWITCH(LEFT(B32,1), "W", "East", "X", "South", "Y", "Midwest", "Z", "West") &amp; "|" &amp; IF(MID(B32,2,1)="0", MID(B32,3,2), MID(B32,2,3)),
    'Mens Seeding'!$D$2:$D$100 &amp; "|" &amp; 'Mens Seeding'!$B$2:$B$100,
    'Mens Seeding'!$E$2:$E$100,
    "Not Found"
)</f>
        <v>1146</v>
      </c>
    </row>
    <row r="33" spans="1:3" x14ac:dyDescent="0.3">
      <c r="A33">
        <v>2026</v>
      </c>
      <c r="B33" t="s">
        <v>456</v>
      </c>
      <c r="C33" cm="1">
        <f t="array" ref="C33">_xlfn.XLOOKUP(
    _xlfn.SWITCH(LEFT(B33,1), "W", "East", "X", "South", "Y", "Midwest", "Z", "West") &amp; "|" &amp; IF(MID(B33,2,1)="0", MID(B33,3,2), MID(B33,2,3)),
    'Mens Seeding'!$D$2:$D$100 &amp; "|" &amp; 'Mens Seeding'!$B$2:$B$100,
    'Mens Seeding'!$E$2:$E$100,
    "Not Found"
)</f>
        <v>1224</v>
      </c>
    </row>
    <row r="34" spans="1:3" x14ac:dyDescent="0.3">
      <c r="A34">
        <v>2026</v>
      </c>
      <c r="B34" t="s">
        <v>34</v>
      </c>
      <c r="C34" cm="1">
        <f t="array" ref="C34">_xlfn.XLOOKUP(
    _xlfn.SWITCH(LEFT(B34,1), "W", "East", "X", "South", "Y", "Midwest", "Z", "West") &amp; "|" &amp; IF(MID(B34,2,1)="0", MID(B34,3,2), MID(B34,2,3)),
    'Mens Seeding'!$D$2:$D$100 &amp; "|" &amp; 'Mens Seeding'!$B$2:$B$100,
    'Mens Seeding'!$E$2:$E$100,
    "Not Found"
)</f>
        <v>1276</v>
      </c>
    </row>
    <row r="35" spans="1:3" x14ac:dyDescent="0.3">
      <c r="A35">
        <v>2026</v>
      </c>
      <c r="B35" t="s">
        <v>35</v>
      </c>
      <c r="C35" cm="1">
        <f t="array" ref="C35">_xlfn.XLOOKUP(
    _xlfn.SWITCH(LEFT(B35,1), "W", "East", "X", "South", "Y", "Midwest", "Z", "West") &amp; "|" &amp; IF(MID(B35,2,1)="0", MID(B35,3,2), MID(B35,2,3)),
    'Mens Seeding'!$D$2:$D$100 &amp; "|" &amp; 'Mens Seeding'!$B$2:$B$100,
    'Mens Seeding'!$E$2:$E$100,
    "Not Found"
)</f>
        <v>1163</v>
      </c>
    </row>
    <row r="36" spans="1:3" x14ac:dyDescent="0.3">
      <c r="A36">
        <v>2026</v>
      </c>
      <c r="B36" t="s">
        <v>36</v>
      </c>
      <c r="C36" cm="1">
        <f t="array" ref="C36">_xlfn.XLOOKUP(
    _xlfn.SWITCH(LEFT(B36,1), "W", "East", "X", "South", "Y", "Midwest", "Z", "West") &amp; "|" &amp; IF(MID(B36,2,1)="0", MID(B36,3,2), MID(B36,2,3)),
    'Mens Seeding'!$D$2:$D$100 &amp; "|" &amp; 'Mens Seeding'!$B$2:$B$100,
    'Mens Seeding'!$E$2:$E$100,
    "Not Found"
)</f>
        <v>1345</v>
      </c>
    </row>
    <row r="37" spans="1:3" x14ac:dyDescent="0.3">
      <c r="A37">
        <v>2026</v>
      </c>
      <c r="B37" t="s">
        <v>37</v>
      </c>
      <c r="C37" cm="1">
        <f t="array" ref="C37">_xlfn.XLOOKUP(
    _xlfn.SWITCH(LEFT(B37,1), "W", "East", "X", "South", "Y", "Midwest", "Z", "West") &amp; "|" &amp; IF(MID(B37,2,1)="0", MID(B37,3,2), MID(B37,2,3)),
    'Mens Seeding'!$D$2:$D$100 &amp; "|" &amp; 'Mens Seeding'!$B$2:$B$100,
    'Mens Seeding'!$E$2:$E$100,
    "Not Found"
)</f>
        <v>1438</v>
      </c>
    </row>
    <row r="38" spans="1:3" x14ac:dyDescent="0.3">
      <c r="A38">
        <v>2026</v>
      </c>
      <c r="B38" t="s">
        <v>38</v>
      </c>
      <c r="C38" cm="1">
        <f t="array" ref="C38">_xlfn.XLOOKUP(
    _xlfn.SWITCH(LEFT(B38,1), "W", "East", "X", "South", "Y", "Midwest", "Z", "West") &amp; "|" &amp; IF(MID(B38,2,1)="0", MID(B38,3,2), MID(B38,2,3)),
    'Mens Seeding'!$D$2:$D$100 &amp; "|" &amp; 'Mens Seeding'!$B$2:$B$100,
    'Mens Seeding'!$E$2:$E$100,
    "Not Found"
)</f>
        <v>1397</v>
      </c>
    </row>
    <row r="39" spans="1:3" x14ac:dyDescent="0.3">
      <c r="A39">
        <v>2026</v>
      </c>
      <c r="B39" t="s">
        <v>39</v>
      </c>
      <c r="C39" cm="1">
        <f t="array" ref="C39">_xlfn.XLOOKUP(
    _xlfn.SWITCH(LEFT(B39,1), "W", "East", "X", "South", "Y", "Midwest", "Z", "West") &amp; "|" &amp; IF(MID(B39,2,1)="0", MID(B39,3,2), MID(B39,2,3)),
    'Mens Seeding'!$D$2:$D$100 &amp; "|" &amp; 'Mens Seeding'!$B$2:$B$100,
    'Mens Seeding'!$E$2:$E$100,
    "Not Found"
)</f>
        <v>1314</v>
      </c>
    </row>
    <row r="40" spans="1:3" x14ac:dyDescent="0.3">
      <c r="A40">
        <v>2026</v>
      </c>
      <c r="B40" t="s">
        <v>40</v>
      </c>
      <c r="C40" cm="1">
        <f t="array" ref="C40">_xlfn.XLOOKUP(
    _xlfn.SWITCH(LEFT(B40,1), "W", "East", "X", "South", "Y", "Midwest", "Z", "West") &amp; "|" &amp; IF(MID(B40,2,1)="0", MID(B40,3,2), MID(B40,2,3)),
    'Mens Seeding'!$D$2:$D$100 &amp; "|" &amp; 'Mens Seeding'!$B$2:$B$100,
    'Mens Seeding'!$E$2:$E$100,
    "Not Found"
)</f>
        <v>1208</v>
      </c>
    </row>
    <row r="41" spans="1:3" x14ac:dyDescent="0.3">
      <c r="A41">
        <v>2026</v>
      </c>
      <c r="B41" t="s">
        <v>41</v>
      </c>
      <c r="C41" cm="1">
        <f t="array" ref="C41">_xlfn.XLOOKUP(
    _xlfn.SWITCH(LEFT(B41,1), "W", "East", "X", "South", "Y", "Midwest", "Z", "West") &amp; "|" &amp; IF(MID(B41,2,1)="0", MID(B41,3,2), MID(B41,2,3)),
    'Mens Seeding'!$D$2:$D$100 &amp; "|" &amp; 'Mens Seeding'!$B$2:$B$100,
    'Mens Seeding'!$E$2:$E$100,
    "Not Found"
)</f>
        <v>1387</v>
      </c>
    </row>
    <row r="42" spans="1:3" x14ac:dyDescent="0.3">
      <c r="A42">
        <v>2026</v>
      </c>
      <c r="B42" t="s">
        <v>42</v>
      </c>
      <c r="C42" cm="1">
        <f t="array" ref="C42">_xlfn.XLOOKUP(
    _xlfn.SWITCH(LEFT(B42,1), "W", "East", "X", "South", "Y", "Midwest", "Z", "West") &amp; "|" &amp; IF(MID(B42,2,1)="0", MID(B42,3,2), MID(B42,2,3)),
    'Mens Seeding'!$D$2:$D$100 &amp; "|" &amp; 'Mens Seeding'!$B$2:$B$100,
    'Mens Seeding'!$E$2:$E$100,
    "Not Found"
)</f>
        <v>1395</v>
      </c>
    </row>
    <row r="43" spans="1:3" x14ac:dyDescent="0.3">
      <c r="A43">
        <v>2026</v>
      </c>
      <c r="B43" t="s">
        <v>43</v>
      </c>
      <c r="C43" cm="1">
        <f t="array" ref="C43">_xlfn.XLOOKUP(
    _xlfn.SWITCH(LEFT(B43,1), "W", "East", "X", "South", "Y", "Midwest", "Z", "West") &amp; "|" &amp; IF(MID(B43,2,1)="0", MID(B43,3,2), MID(B43,2,3)),
    'Mens Seeding'!$D$2:$D$100 &amp; "|" &amp; 'Mens Seeding'!$B$2:$B$100,
    'Mens Seeding'!$E$2:$E$100,
    "Not Found"
)</f>
        <v>1301</v>
      </c>
    </row>
    <row r="44" spans="1:3" x14ac:dyDescent="0.3">
      <c r="A44">
        <v>2026</v>
      </c>
      <c r="B44" t="s">
        <v>455</v>
      </c>
      <c r="C44" cm="1">
        <f t="array" ref="C44">_xlfn.XLOOKUP(
    _xlfn.SWITCH(LEFT(B44,1), "W", "East", "X", "South", "Y", "Midwest", "Z", "West") &amp; "|" &amp; IF(MID(B44,2,1)="0", MID(B44,3,2), MID(B44,2,3)),
    'Mens Seeding'!$D$2:$D$100 &amp; "|" &amp; 'Mens Seeding'!$B$2:$B$100,
    'Mens Seeding'!$E$2:$E$100,
    "Not Found"
)</f>
        <v>1433</v>
      </c>
    </row>
    <row r="45" spans="1:3" x14ac:dyDescent="0.3">
      <c r="A45">
        <v>2026</v>
      </c>
      <c r="B45" t="s">
        <v>44</v>
      </c>
      <c r="C45" cm="1">
        <f t="array" ref="C45">_xlfn.XLOOKUP(
    _xlfn.SWITCH(LEFT(B45,1), "W", "East", "X", "South", "Y", "Midwest", "Z", "West") &amp; "|" &amp; IF(MID(B45,2,1)="0", MID(B45,3,2), MID(B45,2,3)),
    'Mens Seeding'!$D$2:$D$100 &amp; "|" &amp; 'Mens Seeding'!$B$2:$B$100,
    'Mens Seeding'!$E$2:$E$100,
    "Not Found"
)</f>
        <v>1251</v>
      </c>
    </row>
    <row r="46" spans="1:3" x14ac:dyDescent="0.3">
      <c r="A46">
        <v>2026</v>
      </c>
      <c r="B46" t="s">
        <v>45</v>
      </c>
      <c r="C46" cm="1">
        <f t="array" ref="C46">_xlfn.XLOOKUP(
    _xlfn.SWITCH(LEFT(B46,1), "W", "East", "X", "South", "Y", "Midwest", "Z", "West") &amp; "|" &amp; IF(MID(B46,2,1)="0", MID(B46,3,2), MID(B46,2,3)),
    'Mens Seeding'!$D$2:$D$100 &amp; "|" &amp; 'Mens Seeding'!$B$2:$B$100,
    'Mens Seeding'!$E$2:$E$100,
    "Not Found"
)</f>
        <v>1295</v>
      </c>
    </row>
    <row r="47" spans="1:3" x14ac:dyDescent="0.3">
      <c r="A47">
        <v>2026</v>
      </c>
      <c r="B47" t="s">
        <v>46</v>
      </c>
      <c r="C47" cm="1">
        <f t="array" ref="C47">_xlfn.XLOOKUP(
    _xlfn.SWITCH(LEFT(B47,1), "W", "East", "X", "South", "Y", "Midwest", "Z", "West") &amp; "|" &amp; IF(MID(B47,2,1)="0", MID(B47,3,2), MID(B47,2,3)),
    'Mens Seeding'!$D$2:$D$100 &amp; "|" &amp; 'Mens Seeding'!$B$2:$B$100,
    'Mens Seeding'!$E$2:$E$100,
    "Not Found"
)</f>
        <v>1298</v>
      </c>
    </row>
    <row r="48" spans="1:3" x14ac:dyDescent="0.3">
      <c r="A48">
        <v>2026</v>
      </c>
      <c r="B48" t="s">
        <v>47</v>
      </c>
      <c r="C48" cm="1">
        <f t="array" ref="C48">_xlfn.XLOOKUP(
    _xlfn.SWITCH(LEFT(B48,1), "W", "East", "X", "South", "Y", "Midwest", "Z", "West") &amp; "|" &amp; IF(MID(B48,2,1)="0", MID(B48,3,2), MID(B48,2,3)),
    'Mens Seeding'!$D$2:$D$100 &amp; "|" &amp; 'Mens Seeding'!$B$2:$B$100,
    'Mens Seeding'!$E$2:$E$100,
    "Not Found"
)</f>
        <v>1467</v>
      </c>
    </row>
    <row r="49" spans="1:3" x14ac:dyDescent="0.3">
      <c r="A49">
        <v>2026</v>
      </c>
      <c r="B49" t="s">
        <v>454</v>
      </c>
      <c r="C49" cm="1">
        <f t="array" ref="C49">_xlfn.XLOOKUP(
    _xlfn.SWITCH(LEFT(B49,1), "W", "East", "X", "South", "Y", "Midwest", "Z", "West") &amp; "|" &amp; IF(MID(B49,2,1)="0", MID(B49,3,2), MID(B49,2,3)),
    'Mens Seeding'!$D$2:$D$100 &amp; "|" &amp; 'Mens Seeding'!$B$2:$B$100,
    'Mens Seeding'!$E$2:$E$100,
    "Not Found"
)</f>
        <v>1420</v>
      </c>
    </row>
    <row r="50" spans="1:3" x14ac:dyDescent="0.3">
      <c r="A50">
        <v>2026</v>
      </c>
      <c r="B50" t="s">
        <v>48</v>
      </c>
      <c r="C50" cm="1">
        <f t="array" ref="C50">_xlfn.XLOOKUP(
    _xlfn.SWITCH(LEFT(B50,1), "W", "East", "X", "South", "Y", "Midwest", "Z", "West") &amp; "|" &amp; IF(MID(B50,2,1)="0", MID(B50,3,2), MID(B50,2,3)),
    'Mens Seeding'!$D$2:$D$100 &amp; "|" &amp; 'Mens Seeding'!$B$2:$B$100,
    'Mens Seeding'!$E$2:$E$100,
    "Not Found"
)</f>
        <v>1112</v>
      </c>
    </row>
    <row r="51" spans="1:3" x14ac:dyDescent="0.3">
      <c r="A51">
        <v>2026</v>
      </c>
      <c r="B51" t="s">
        <v>49</v>
      </c>
      <c r="C51" cm="1">
        <f t="array" ref="C51">_xlfn.XLOOKUP(
    _xlfn.SWITCH(LEFT(B51,1), "W", "East", "X", "South", "Y", "Midwest", "Z", "West") &amp; "|" &amp; IF(MID(B51,2,1)="0", MID(B51,3,2), MID(B51,2,3)),
    'Mens Seeding'!$D$2:$D$100 &amp; "|" &amp; 'Mens Seeding'!$B$2:$B$100,
    'Mens Seeding'!$E$2:$E$100,
    "Not Found"
)</f>
        <v>1228</v>
      </c>
    </row>
    <row r="52" spans="1:3" x14ac:dyDescent="0.3">
      <c r="A52">
        <v>2026</v>
      </c>
      <c r="B52" t="s">
        <v>50</v>
      </c>
      <c r="C52" cm="1">
        <f t="array" ref="C52">_xlfn.XLOOKUP(
    _xlfn.SWITCH(LEFT(B52,1), "W", "East", "X", "South", "Y", "Midwest", "Z", "West") &amp; "|" &amp; IF(MID(B52,2,1)="0", MID(B52,3,2), MID(B52,2,3)),
    'Mens Seeding'!$D$2:$D$100 &amp; "|" &amp; 'Mens Seeding'!$B$2:$B$100,
    'Mens Seeding'!$E$2:$E$100,
    "Not Found"
)</f>
        <v>1211</v>
      </c>
    </row>
    <row r="53" spans="1:3" x14ac:dyDescent="0.3">
      <c r="A53">
        <v>2026</v>
      </c>
      <c r="B53" t="s">
        <v>51</v>
      </c>
      <c r="C53" cm="1">
        <f t="array" ref="C53">_xlfn.XLOOKUP(
    _xlfn.SWITCH(LEFT(B53,1), "W", "East", "X", "South", "Y", "Midwest", "Z", "West") &amp; "|" &amp; IF(MID(B53,2,1)="0", MID(B53,3,2), MID(B53,2,3)),
    'Mens Seeding'!$D$2:$D$100 &amp; "|" &amp; 'Mens Seeding'!$B$2:$B$100,
    'Mens Seeding'!$E$2:$E$100,
    "Not Found"
)</f>
        <v>1403</v>
      </c>
    </row>
    <row r="54" spans="1:3" x14ac:dyDescent="0.3">
      <c r="A54">
        <v>2026</v>
      </c>
      <c r="B54" t="s">
        <v>52</v>
      </c>
      <c r="C54" cm="1">
        <f t="array" ref="C54">_xlfn.XLOOKUP(
    _xlfn.SWITCH(LEFT(B54,1), "W", "East", "X", "South", "Y", "Midwest", "Z", "West") &amp; "|" &amp; IF(MID(B54,2,1)="0", MID(B54,3,2), MID(B54,2,3)),
    'Mens Seeding'!$D$2:$D$100 &amp; "|" &amp; 'Mens Seeding'!$B$2:$B$100,
    'Mens Seeding'!$E$2:$E$100,
    "Not Found"
)</f>
        <v>1435</v>
      </c>
    </row>
    <row r="55" spans="1:3" x14ac:dyDescent="0.3">
      <c r="A55">
        <v>2026</v>
      </c>
      <c r="B55" t="s">
        <v>53</v>
      </c>
      <c r="C55" cm="1">
        <f t="array" ref="C55">_xlfn.XLOOKUP(
    _xlfn.SWITCH(LEFT(B55,1), "W", "East", "X", "South", "Y", "Midwest", "Z", "West") &amp; "|" &amp; IF(MID(B55,2,1)="0", MID(B55,3,2), MID(B55,2,3)),
    'Mens Seeding'!$D$2:$D$100 &amp; "|" &amp; 'Mens Seeding'!$B$2:$B$100,
    'Mens Seeding'!$E$2:$E$100,
    "Not Found"
)</f>
        <v>1246</v>
      </c>
    </row>
    <row r="56" spans="1:3" x14ac:dyDescent="0.3">
      <c r="A56">
        <v>2026</v>
      </c>
      <c r="B56" t="s">
        <v>54</v>
      </c>
      <c r="C56" cm="1">
        <f t="array" ref="C56">_xlfn.XLOOKUP(
    _xlfn.SWITCH(LEFT(B56,1), "W", "East", "X", "South", "Y", "Midwest", "Z", "West") &amp; "|" &amp; IF(MID(B56,2,1)="0", MID(B56,3,2), MID(B56,2,3)),
    'Mens Seeding'!$D$2:$D$100 &amp; "|" &amp; 'Mens Seeding'!$B$2:$B$100,
    'Mens Seeding'!$E$2:$E$100,
    "Not Found"
)</f>
        <v>1140</v>
      </c>
    </row>
    <row r="57" spans="1:3" x14ac:dyDescent="0.3">
      <c r="A57">
        <v>2026</v>
      </c>
      <c r="B57" t="s">
        <v>55</v>
      </c>
      <c r="C57" cm="1">
        <f t="array" ref="C57">_xlfn.XLOOKUP(
    _xlfn.SWITCH(LEFT(B57,1), "W", "East", "X", "South", "Y", "Midwest", "Z", "West") &amp; "|" &amp; IF(MID(B57,2,1)="0", MID(B57,3,2), MID(B57,2,3)),
    'Mens Seeding'!$D$2:$D$100 &amp; "|" &amp; 'Mens Seeding'!$B$2:$B$100,
    'Mens Seeding'!$E$2:$E$100,
    "Not Found"
)</f>
        <v>1155</v>
      </c>
    </row>
    <row r="58" spans="1:3" x14ac:dyDescent="0.3">
      <c r="A58">
        <v>2026</v>
      </c>
      <c r="B58" t="s">
        <v>56</v>
      </c>
      <c r="C58" cm="1">
        <f t="array" ref="C58">_xlfn.XLOOKUP(
    _xlfn.SWITCH(LEFT(B58,1), "W", "East", "X", "South", "Y", "Midwest", "Z", "West") &amp; "|" &amp; IF(MID(B58,2,1)="0", MID(B58,3,2), MID(B58,2,3)),
    'Mens Seeding'!$D$2:$D$100 &amp; "|" &amp; 'Mens Seeding'!$B$2:$B$100,
    'Mens Seeding'!$E$2:$E$100,
    "Not Found"
)</f>
        <v>1417</v>
      </c>
    </row>
    <row r="59" spans="1:3" x14ac:dyDescent="0.3">
      <c r="A59">
        <v>2026</v>
      </c>
      <c r="B59" t="s">
        <v>57</v>
      </c>
      <c r="C59" cm="1">
        <f t="array" ref="C59">_xlfn.XLOOKUP(
    _xlfn.SWITCH(LEFT(B59,1), "W", "East", "X", "South", "Y", "Midwest", "Z", "West") &amp; "|" &amp; IF(MID(B59,2,1)="0", MID(B59,3,2), MID(B59,2,3)),
    'Mens Seeding'!$D$2:$D$100 &amp; "|" &amp; 'Mens Seeding'!$B$2:$B$100,
    'Mens Seeding'!$E$2:$E$100,
    "Not Found"
)</f>
        <v>1401</v>
      </c>
    </row>
    <row r="60" spans="1:3" x14ac:dyDescent="0.3">
      <c r="A60">
        <v>2026</v>
      </c>
      <c r="B60" t="s">
        <v>453</v>
      </c>
      <c r="C60" cm="1">
        <f t="array" ref="C60">_xlfn.XLOOKUP(
    _xlfn.SWITCH(LEFT(B60,1), "W", "East", "X", "South", "Y", "Midwest", "Z", "West") &amp; "|" &amp; IF(MID(B60,2,1)="0", MID(B60,3,2), MID(B60,2,3)),
    'Mens Seeding'!$D$2:$D$100 &amp; "|" &amp; 'Mens Seeding'!$B$2:$B$100,
    'Mens Seeding'!$E$2:$E$100,
    "Not Found"
)</f>
        <v>1275</v>
      </c>
    </row>
    <row r="61" spans="1:3" x14ac:dyDescent="0.3">
      <c r="A61">
        <v>2026</v>
      </c>
      <c r="B61" t="s">
        <v>58</v>
      </c>
      <c r="C61" cm="1">
        <f t="array" ref="C61">_xlfn.XLOOKUP(
    _xlfn.SWITCH(LEFT(B61,1), "W", "East", "X", "South", "Y", "Midwest", "Z", "West") &amp; "|" &amp; IF(MID(B61,2,1)="0", MID(B61,3,2), MID(B61,2,3)),
    'Mens Seeding'!$D$2:$D$100 &amp; "|" &amp; 'Mens Seeding'!$B$2:$B$100,
    'Mens Seeding'!$E$2:$E$100,
    "Not Found"
)</f>
        <v>1219</v>
      </c>
    </row>
    <row r="62" spans="1:3" x14ac:dyDescent="0.3">
      <c r="A62">
        <v>2026</v>
      </c>
      <c r="B62" t="s">
        <v>59</v>
      </c>
      <c r="C62" cm="1">
        <f t="array" ref="C62">_xlfn.XLOOKUP(
    _xlfn.SWITCH(LEFT(B62,1), "W", "East", "X", "South", "Y", "Midwest", "Z", "West") &amp; "|" &amp; IF(MID(B62,2,1)="0", MID(B62,3,2), MID(B62,2,3)),
    'Mens Seeding'!$D$2:$D$100 &amp; "|" &amp; 'Mens Seeding'!$B$2:$B$100,
    'Mens Seeding'!$E$2:$E$100,
    "Not Found"
)</f>
        <v>1465</v>
      </c>
    </row>
    <row r="63" spans="1:3" x14ac:dyDescent="0.3">
      <c r="A63">
        <v>2026</v>
      </c>
      <c r="B63" t="s">
        <v>60</v>
      </c>
      <c r="C63" cm="1">
        <f t="array" ref="C63">_xlfn.XLOOKUP(
    _xlfn.SWITCH(LEFT(B63,1), "W", "East", "X", "South", "Y", "Midwest", "Z", "West") &amp; "|" &amp; IF(MID(B63,2,1)="0", MID(B63,3,2), MID(B63,2,3)),
    'Mens Seeding'!$D$2:$D$100 &amp; "|" &amp; 'Mens Seeding'!$B$2:$B$100,
    'Mens Seeding'!$E$2:$E$100,
    "Not Found"
)</f>
        <v>1414</v>
      </c>
    </row>
    <row r="64" spans="1:3" x14ac:dyDescent="0.3">
      <c r="A64">
        <v>2026</v>
      </c>
      <c r="B64" t="s">
        <v>61</v>
      </c>
      <c r="C64" cm="1">
        <f t="array" ref="C64">_xlfn.XLOOKUP(
    _xlfn.SWITCH(LEFT(B64,1), "W", "East", "X", "South", "Y", "Midwest", "Z", "West") &amp; "|" &amp; IF(MID(B64,2,1)="0", MID(B64,3,2), MID(B64,2,3)),
    'Mens Seeding'!$D$2:$D$100 &amp; "|" &amp; 'Mens Seeding'!$B$2:$B$100,
    'Mens Seeding'!$E$2:$E$100,
    "Not Found"
)</f>
        <v>1227</v>
      </c>
    </row>
    <row r="65" spans="1:3" x14ac:dyDescent="0.3">
      <c r="A65">
        <v>2026</v>
      </c>
      <c r="B65" t="s">
        <v>62</v>
      </c>
      <c r="C65" cm="1">
        <f t="array" ref="C65">_xlfn.XLOOKUP(
    _xlfn.SWITCH(LEFT(B65,1), "W", "East", "X", "South", "Y", "Midwest", "Z", "West") &amp; "|" &amp; IF(MID(B65,2,1)="0", MID(B65,3,2), MID(B65,2,3)),
    'Mens Seeding'!$D$2:$D$100 &amp; "|" &amp; 'Mens Seeding'!$B$2:$B$100,
    'Mens Seeding'!$E$2:$E$100,
    "Not Found"
)</f>
        <v>1340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87BB-C05C-48DB-B822-2D8782124E20}">
  <dimension ref="A1:D33"/>
  <sheetViews>
    <sheetView workbookViewId="0">
      <selection activeCell="A34" sqref="A34:D68"/>
    </sheetView>
  </sheetViews>
  <sheetFormatPr defaultRowHeight="14.4" x14ac:dyDescent="0.3"/>
  <sheetData>
    <row r="1" spans="1:4" x14ac:dyDescent="0.3">
      <c r="A1" t="s">
        <v>0</v>
      </c>
      <c r="B1" t="s">
        <v>489</v>
      </c>
      <c r="C1" t="s">
        <v>490</v>
      </c>
      <c r="D1" t="s">
        <v>491</v>
      </c>
    </row>
    <row r="2" spans="1:4" x14ac:dyDescent="0.3">
      <c r="A2">
        <v>2026</v>
      </c>
      <c r="B2" t="s">
        <v>457</v>
      </c>
      <c r="C2" t="s">
        <v>3</v>
      </c>
      <c r="D2" t="s">
        <v>18</v>
      </c>
    </row>
    <row r="3" spans="1:4" x14ac:dyDescent="0.3">
      <c r="A3">
        <v>2026</v>
      </c>
      <c r="B3" t="s">
        <v>458</v>
      </c>
      <c r="C3" t="s">
        <v>4</v>
      </c>
      <c r="D3" t="s">
        <v>17</v>
      </c>
    </row>
    <row r="4" spans="1:4" x14ac:dyDescent="0.3">
      <c r="A4">
        <v>2026</v>
      </c>
      <c r="B4" t="s">
        <v>459</v>
      </c>
      <c r="C4" t="s">
        <v>5</v>
      </c>
      <c r="D4" t="s">
        <v>16</v>
      </c>
    </row>
    <row r="5" spans="1:4" x14ac:dyDescent="0.3">
      <c r="A5">
        <v>2026</v>
      </c>
      <c r="B5" t="s">
        <v>460</v>
      </c>
      <c r="C5" t="s">
        <v>6</v>
      </c>
      <c r="D5" t="s">
        <v>15</v>
      </c>
    </row>
    <row r="6" spans="1:4" x14ac:dyDescent="0.3">
      <c r="A6">
        <v>2026</v>
      </c>
      <c r="B6" t="s">
        <v>461</v>
      </c>
      <c r="C6" t="s">
        <v>7</v>
      </c>
      <c r="D6" t="s">
        <v>14</v>
      </c>
    </row>
    <row r="7" spans="1:4" x14ac:dyDescent="0.3">
      <c r="A7">
        <v>2026</v>
      </c>
      <c r="B7" t="s">
        <v>462</v>
      </c>
      <c r="C7" t="s">
        <v>8</v>
      </c>
      <c r="D7" t="s">
        <v>13</v>
      </c>
    </row>
    <row r="8" spans="1:4" x14ac:dyDescent="0.3">
      <c r="A8">
        <v>2026</v>
      </c>
      <c r="B8" t="s">
        <v>463</v>
      </c>
      <c r="C8" t="s">
        <v>9</v>
      </c>
      <c r="D8" t="s">
        <v>12</v>
      </c>
    </row>
    <row r="9" spans="1:4" x14ac:dyDescent="0.3">
      <c r="A9">
        <v>2026</v>
      </c>
      <c r="B9" t="s">
        <v>464</v>
      </c>
      <c r="C9" t="s">
        <v>10</v>
      </c>
      <c r="D9" t="s">
        <v>11</v>
      </c>
    </row>
    <row r="10" spans="1:4" x14ac:dyDescent="0.3">
      <c r="A10">
        <v>2026</v>
      </c>
      <c r="B10" t="s">
        <v>465</v>
      </c>
      <c r="C10" t="s">
        <v>19</v>
      </c>
      <c r="D10" t="s">
        <v>456</v>
      </c>
    </row>
    <row r="11" spans="1:4" x14ac:dyDescent="0.3">
      <c r="A11">
        <v>2026</v>
      </c>
      <c r="B11" t="s">
        <v>466</v>
      </c>
      <c r="C11" t="s">
        <v>20</v>
      </c>
      <c r="D11" t="s">
        <v>33</v>
      </c>
    </row>
    <row r="12" spans="1:4" x14ac:dyDescent="0.3">
      <c r="A12">
        <v>2026</v>
      </c>
      <c r="B12" t="s">
        <v>467</v>
      </c>
      <c r="C12" t="s">
        <v>21</v>
      </c>
      <c r="D12" t="s">
        <v>32</v>
      </c>
    </row>
    <row r="13" spans="1:4" x14ac:dyDescent="0.3">
      <c r="A13">
        <v>2026</v>
      </c>
      <c r="B13" t="s">
        <v>468</v>
      </c>
      <c r="C13" t="s">
        <v>22</v>
      </c>
      <c r="D13" t="s">
        <v>31</v>
      </c>
    </row>
    <row r="14" spans="1:4" x14ac:dyDescent="0.3">
      <c r="A14">
        <v>2026</v>
      </c>
      <c r="B14" t="s">
        <v>469</v>
      </c>
      <c r="C14" t="s">
        <v>23</v>
      </c>
      <c r="D14" t="s">
        <v>30</v>
      </c>
    </row>
    <row r="15" spans="1:4" x14ac:dyDescent="0.3">
      <c r="A15">
        <v>2026</v>
      </c>
      <c r="B15" t="s">
        <v>470</v>
      </c>
      <c r="C15" t="s">
        <v>24</v>
      </c>
      <c r="D15" t="s">
        <v>29</v>
      </c>
    </row>
    <row r="16" spans="1:4" x14ac:dyDescent="0.3">
      <c r="A16">
        <v>2026</v>
      </c>
      <c r="B16" t="s">
        <v>471</v>
      </c>
      <c r="C16" t="s">
        <v>25</v>
      </c>
      <c r="D16" t="s">
        <v>28</v>
      </c>
    </row>
    <row r="17" spans="1:4" x14ac:dyDescent="0.3">
      <c r="A17">
        <v>2026</v>
      </c>
      <c r="B17" t="s">
        <v>472</v>
      </c>
      <c r="C17" t="s">
        <v>26</v>
      </c>
      <c r="D17" t="s">
        <v>27</v>
      </c>
    </row>
    <row r="18" spans="1:4" x14ac:dyDescent="0.3">
      <c r="A18">
        <v>2026</v>
      </c>
      <c r="B18" t="s">
        <v>473</v>
      </c>
      <c r="C18" t="s">
        <v>34</v>
      </c>
      <c r="D18" t="s">
        <v>454</v>
      </c>
    </row>
    <row r="19" spans="1:4" x14ac:dyDescent="0.3">
      <c r="A19">
        <v>2026</v>
      </c>
      <c r="B19" t="s">
        <v>474</v>
      </c>
      <c r="C19" t="s">
        <v>35</v>
      </c>
      <c r="D19" t="s">
        <v>47</v>
      </c>
    </row>
    <row r="20" spans="1:4" x14ac:dyDescent="0.3">
      <c r="A20">
        <v>2026</v>
      </c>
      <c r="B20" t="s">
        <v>475</v>
      </c>
      <c r="C20" t="s">
        <v>36</v>
      </c>
      <c r="D20" t="s">
        <v>46</v>
      </c>
    </row>
    <row r="21" spans="1:4" x14ac:dyDescent="0.3">
      <c r="A21">
        <v>2026</v>
      </c>
      <c r="B21" t="s">
        <v>476</v>
      </c>
      <c r="C21" t="s">
        <v>37</v>
      </c>
      <c r="D21" t="s">
        <v>45</v>
      </c>
    </row>
    <row r="22" spans="1:4" x14ac:dyDescent="0.3">
      <c r="A22">
        <v>2026</v>
      </c>
      <c r="B22" t="s">
        <v>477</v>
      </c>
      <c r="C22" t="s">
        <v>38</v>
      </c>
      <c r="D22" t="s">
        <v>44</v>
      </c>
    </row>
    <row r="23" spans="1:4" x14ac:dyDescent="0.3">
      <c r="A23">
        <v>2026</v>
      </c>
      <c r="B23" t="s">
        <v>478</v>
      </c>
      <c r="C23" t="s">
        <v>39</v>
      </c>
      <c r="D23" t="s">
        <v>455</v>
      </c>
    </row>
    <row r="24" spans="1:4" x14ac:dyDescent="0.3">
      <c r="A24">
        <v>2026</v>
      </c>
      <c r="B24" t="s">
        <v>479</v>
      </c>
      <c r="C24" t="s">
        <v>40</v>
      </c>
      <c r="D24" t="s">
        <v>43</v>
      </c>
    </row>
    <row r="25" spans="1:4" x14ac:dyDescent="0.3">
      <c r="A25">
        <v>2026</v>
      </c>
      <c r="B25" t="s">
        <v>480</v>
      </c>
      <c r="C25" t="s">
        <v>41</v>
      </c>
      <c r="D25" t="s">
        <v>42</v>
      </c>
    </row>
    <row r="26" spans="1:4" x14ac:dyDescent="0.3">
      <c r="A26">
        <v>2026</v>
      </c>
      <c r="B26" t="s">
        <v>481</v>
      </c>
      <c r="C26" t="s">
        <v>48</v>
      </c>
      <c r="D26" t="s">
        <v>62</v>
      </c>
    </row>
    <row r="27" spans="1:4" x14ac:dyDescent="0.3">
      <c r="A27">
        <v>2026</v>
      </c>
      <c r="B27" t="s">
        <v>482</v>
      </c>
      <c r="C27" t="s">
        <v>49</v>
      </c>
      <c r="D27" t="s">
        <v>61</v>
      </c>
    </row>
    <row r="28" spans="1:4" x14ac:dyDescent="0.3">
      <c r="A28">
        <v>2026</v>
      </c>
      <c r="B28" t="s">
        <v>483</v>
      </c>
      <c r="C28" t="s">
        <v>50</v>
      </c>
      <c r="D28" t="s">
        <v>60</v>
      </c>
    </row>
    <row r="29" spans="1:4" x14ac:dyDescent="0.3">
      <c r="A29">
        <v>2026</v>
      </c>
      <c r="B29" t="s">
        <v>484</v>
      </c>
      <c r="C29" t="s">
        <v>51</v>
      </c>
      <c r="D29" t="s">
        <v>59</v>
      </c>
    </row>
    <row r="30" spans="1:4" x14ac:dyDescent="0.3">
      <c r="A30">
        <v>2026</v>
      </c>
      <c r="B30" t="s">
        <v>485</v>
      </c>
      <c r="C30" t="s">
        <v>52</v>
      </c>
      <c r="D30" t="s">
        <v>58</v>
      </c>
    </row>
    <row r="31" spans="1:4" x14ac:dyDescent="0.3">
      <c r="A31">
        <v>2026</v>
      </c>
      <c r="B31" t="s">
        <v>486</v>
      </c>
      <c r="C31" t="s">
        <v>53</v>
      </c>
      <c r="D31" t="s">
        <v>453</v>
      </c>
    </row>
    <row r="32" spans="1:4" x14ac:dyDescent="0.3">
      <c r="A32">
        <v>2026</v>
      </c>
      <c r="B32" t="s">
        <v>487</v>
      </c>
      <c r="C32" t="s">
        <v>54</v>
      </c>
      <c r="D32" t="s">
        <v>57</v>
      </c>
    </row>
    <row r="33" spans="1:4" x14ac:dyDescent="0.3">
      <c r="A33">
        <v>2026</v>
      </c>
      <c r="B33" t="s">
        <v>488</v>
      </c>
      <c r="C33" t="s">
        <v>55</v>
      </c>
      <c r="D3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4535-B2DB-4ACF-A220-CC175FA90B40}">
  <dimension ref="A1:G65"/>
  <sheetViews>
    <sheetView tabSelected="1" workbookViewId="0">
      <selection activeCell="I82" sqref="I82"/>
    </sheetView>
  </sheetViews>
  <sheetFormatPr defaultRowHeight="14.4" x14ac:dyDescent="0.3"/>
  <cols>
    <col min="2" max="2" width="6.33203125" customWidth="1"/>
    <col min="3" max="3" width="15.5546875" customWidth="1"/>
  </cols>
  <sheetData>
    <row r="1" spans="1:7" x14ac:dyDescent="0.3">
      <c r="A1" t="s">
        <v>492</v>
      </c>
      <c r="B1" t="s">
        <v>1</v>
      </c>
      <c r="C1" t="s">
        <v>111</v>
      </c>
      <c r="D1" t="s">
        <v>106</v>
      </c>
      <c r="E1" t="s">
        <v>2</v>
      </c>
      <c r="F1" t="s">
        <v>452</v>
      </c>
      <c r="G1" t="s">
        <v>497</v>
      </c>
    </row>
    <row r="2" spans="1:7" x14ac:dyDescent="0.3">
      <c r="A2">
        <v>1</v>
      </c>
      <c r="B2">
        <v>1</v>
      </c>
      <c r="C2" t="s">
        <v>170</v>
      </c>
      <c r="D2" t="s">
        <v>493</v>
      </c>
      <c r="E2">
        <f>VLOOKUP(Table17[[#This Row],[TeamName]],WTeams!A:B,2,FALSE)</f>
        <v>3163</v>
      </c>
      <c r="G2">
        <f t="shared" ref="G2:G65" si="0">COUNTIF(E:E, E2)</f>
        <v>1</v>
      </c>
    </row>
    <row r="3" spans="1:7" x14ac:dyDescent="0.3">
      <c r="A3">
        <v>2</v>
      </c>
      <c r="B3">
        <v>16</v>
      </c>
      <c r="C3" t="s">
        <v>198</v>
      </c>
      <c r="D3" t="s">
        <v>493</v>
      </c>
      <c r="E3">
        <f>VLOOKUP(Table17[[#This Row],[TeamName]],WTeams!A:B,2,FALSE)</f>
        <v>3192</v>
      </c>
      <c r="F3" t="s">
        <v>225</v>
      </c>
      <c r="G3">
        <f t="shared" si="0"/>
        <v>1</v>
      </c>
    </row>
    <row r="4" spans="1:7" x14ac:dyDescent="0.3">
      <c r="A4">
        <v>3</v>
      </c>
      <c r="B4">
        <v>8</v>
      </c>
      <c r="C4" t="s">
        <v>86</v>
      </c>
      <c r="D4" t="s">
        <v>493</v>
      </c>
      <c r="E4">
        <f>VLOOKUP(Table17[[#This Row],[TeamName]],WTeams!A:B,2,FALSE)</f>
        <v>3301</v>
      </c>
      <c r="G4">
        <f t="shared" si="0"/>
        <v>1</v>
      </c>
    </row>
    <row r="5" spans="1:7" x14ac:dyDescent="0.3">
      <c r="A5">
        <v>4</v>
      </c>
      <c r="B5">
        <v>9</v>
      </c>
      <c r="C5" t="s">
        <v>234</v>
      </c>
      <c r="D5" t="s">
        <v>493</v>
      </c>
      <c r="E5">
        <f>VLOOKUP(Table17[[#This Row],[TeamName]],WTeams!A:B,2,FALSE)</f>
        <v>3235</v>
      </c>
      <c r="G5">
        <f t="shared" si="0"/>
        <v>1</v>
      </c>
    </row>
    <row r="6" spans="1:7" x14ac:dyDescent="0.3">
      <c r="A6">
        <v>5</v>
      </c>
      <c r="B6">
        <v>5</v>
      </c>
      <c r="C6" t="s">
        <v>273</v>
      </c>
      <c r="D6" t="s">
        <v>493</v>
      </c>
      <c r="E6">
        <f>VLOOKUP(Table17[[#This Row],[TeamName]],WTeams!A:B,2,FALSE)</f>
        <v>3279</v>
      </c>
      <c r="G6">
        <f t="shared" si="0"/>
        <v>1</v>
      </c>
    </row>
    <row r="7" spans="1:7" x14ac:dyDescent="0.3">
      <c r="A7">
        <v>6</v>
      </c>
      <c r="B7">
        <v>12</v>
      </c>
      <c r="C7" t="s">
        <v>89</v>
      </c>
      <c r="D7" t="s">
        <v>493</v>
      </c>
      <c r="E7">
        <f>VLOOKUP(Table17[[#This Row],[TeamName]],WTeams!A:B,2,FALSE)</f>
        <v>3438</v>
      </c>
      <c r="F7" t="s">
        <v>124</v>
      </c>
      <c r="G7">
        <f t="shared" si="0"/>
        <v>1</v>
      </c>
    </row>
    <row r="8" spans="1:7" x14ac:dyDescent="0.3">
      <c r="A8">
        <v>7</v>
      </c>
      <c r="B8">
        <v>4</v>
      </c>
      <c r="C8" t="s">
        <v>263</v>
      </c>
      <c r="D8" t="s">
        <v>493</v>
      </c>
      <c r="E8">
        <f>VLOOKUP(Table17[[#This Row],[TeamName]],WTeams!A:B,2,FALSE)</f>
        <v>3268</v>
      </c>
      <c r="G8">
        <f t="shared" si="0"/>
        <v>1</v>
      </c>
    </row>
    <row r="9" spans="1:7" x14ac:dyDescent="0.3">
      <c r="A9">
        <v>8</v>
      </c>
      <c r="B9">
        <v>13</v>
      </c>
      <c r="C9" t="s">
        <v>252</v>
      </c>
      <c r="D9" t="s">
        <v>493</v>
      </c>
      <c r="E9">
        <f>VLOOKUP(Table17[[#This Row],[TeamName]],WTeams!A:B,2,FALSE)</f>
        <v>3256</v>
      </c>
      <c r="G9">
        <f t="shared" si="0"/>
        <v>1</v>
      </c>
    </row>
    <row r="10" spans="1:7" x14ac:dyDescent="0.3">
      <c r="A10">
        <v>9</v>
      </c>
      <c r="B10">
        <v>6</v>
      </c>
      <c r="C10" t="s">
        <v>76</v>
      </c>
      <c r="D10" t="s">
        <v>493</v>
      </c>
      <c r="E10">
        <f>VLOOKUP(Table17[[#This Row],[TeamName]],WTeams!A:B,2,FALSE)</f>
        <v>3403</v>
      </c>
      <c r="G10">
        <f t="shared" si="0"/>
        <v>1</v>
      </c>
    </row>
    <row r="11" spans="1:7" x14ac:dyDescent="0.3">
      <c r="A11">
        <v>10</v>
      </c>
      <c r="B11">
        <v>11</v>
      </c>
      <c r="C11" t="s">
        <v>199</v>
      </c>
      <c r="D11" t="s">
        <v>493</v>
      </c>
      <c r="E11">
        <f>VLOOKUP(Table17[[#This Row],[TeamName]],WTeams!A:B,2,FALSE)</f>
        <v>3193</v>
      </c>
      <c r="G11">
        <f t="shared" si="0"/>
        <v>1</v>
      </c>
    </row>
    <row r="12" spans="1:7" x14ac:dyDescent="0.3">
      <c r="A12">
        <v>11</v>
      </c>
      <c r="B12">
        <v>3</v>
      </c>
      <c r="C12" t="s">
        <v>84</v>
      </c>
      <c r="D12" t="s">
        <v>493</v>
      </c>
      <c r="E12">
        <f>VLOOKUP(Table17[[#This Row],[TeamName]],WTeams!A:B,2,FALSE)</f>
        <v>3276</v>
      </c>
      <c r="G12">
        <f t="shared" si="0"/>
        <v>1</v>
      </c>
    </row>
    <row r="13" spans="1:7" x14ac:dyDescent="0.3">
      <c r="A13">
        <v>12</v>
      </c>
      <c r="B13">
        <v>14</v>
      </c>
      <c r="C13" t="s">
        <v>265</v>
      </c>
      <c r="D13" t="s">
        <v>493</v>
      </c>
      <c r="E13">
        <f>VLOOKUP(Table17[[#This Row],[TeamName]],WTeams!A:B,2,FALSE)</f>
        <v>3270</v>
      </c>
      <c r="G13">
        <f t="shared" si="0"/>
        <v>1</v>
      </c>
    </row>
    <row r="14" spans="1:7" x14ac:dyDescent="0.3">
      <c r="A14">
        <v>13</v>
      </c>
      <c r="B14">
        <v>7</v>
      </c>
      <c r="C14" t="s">
        <v>73</v>
      </c>
      <c r="D14" t="s">
        <v>493</v>
      </c>
      <c r="E14">
        <f>VLOOKUP(Table17[[#This Row],[TeamName]],WTeams!A:B,2,FALSE)</f>
        <v>3228</v>
      </c>
      <c r="G14">
        <f t="shared" si="0"/>
        <v>1</v>
      </c>
    </row>
    <row r="15" spans="1:7" x14ac:dyDescent="0.3">
      <c r="A15">
        <v>14</v>
      </c>
      <c r="B15">
        <v>10</v>
      </c>
      <c r="C15" t="s">
        <v>64</v>
      </c>
      <c r="D15" t="s">
        <v>493</v>
      </c>
      <c r="E15">
        <f>VLOOKUP(Table17[[#This Row],[TeamName]],WTeams!A:B,2,FALSE)</f>
        <v>3155</v>
      </c>
      <c r="G15">
        <f t="shared" si="0"/>
        <v>1</v>
      </c>
    </row>
    <row r="16" spans="1:7" x14ac:dyDescent="0.3">
      <c r="A16">
        <v>15</v>
      </c>
      <c r="B16">
        <v>2</v>
      </c>
      <c r="C16" t="s">
        <v>87</v>
      </c>
      <c r="D16" t="s">
        <v>493</v>
      </c>
      <c r="E16">
        <f>VLOOKUP(Table17[[#This Row],[TeamName]],WTeams!A:B,2,FALSE)</f>
        <v>3435</v>
      </c>
      <c r="G16">
        <f t="shared" si="0"/>
        <v>1</v>
      </c>
    </row>
    <row r="17" spans="1:7" x14ac:dyDescent="0.3">
      <c r="A17">
        <v>16</v>
      </c>
      <c r="B17">
        <v>15</v>
      </c>
      <c r="C17" t="s">
        <v>253</v>
      </c>
      <c r="D17" t="s">
        <v>493</v>
      </c>
      <c r="E17">
        <f>VLOOKUP(Table17[[#This Row],[TeamName]],WTeams!A:B,2,FALSE)</f>
        <v>3258</v>
      </c>
      <c r="G17">
        <f t="shared" si="0"/>
        <v>1</v>
      </c>
    </row>
    <row r="18" spans="1:7" x14ac:dyDescent="0.3">
      <c r="A18">
        <v>1</v>
      </c>
      <c r="B18">
        <v>1</v>
      </c>
      <c r="C18" t="s">
        <v>81</v>
      </c>
      <c r="D18" t="s">
        <v>494</v>
      </c>
      <c r="E18">
        <f>VLOOKUP(Table17[[#This Row],[TeamName]],WTeams!A:B,2,FALSE)</f>
        <v>3417</v>
      </c>
      <c r="G18">
        <f t="shared" si="0"/>
        <v>1</v>
      </c>
    </row>
    <row r="19" spans="1:7" x14ac:dyDescent="0.3">
      <c r="A19">
        <v>2</v>
      </c>
      <c r="B19">
        <v>16</v>
      </c>
      <c r="C19" t="s">
        <v>90</v>
      </c>
      <c r="D19" t="s">
        <v>494</v>
      </c>
      <c r="E19">
        <f>VLOOKUP(Table17[[#This Row],[TeamName]],WTeams!A:B,2,FALSE)</f>
        <v>3465</v>
      </c>
      <c r="G19">
        <f t="shared" si="0"/>
        <v>1</v>
      </c>
    </row>
    <row r="20" spans="1:7" x14ac:dyDescent="0.3">
      <c r="A20">
        <v>3</v>
      </c>
      <c r="B20">
        <v>8</v>
      </c>
      <c r="C20" t="s">
        <v>99</v>
      </c>
      <c r="D20" t="s">
        <v>494</v>
      </c>
      <c r="E20">
        <f>VLOOKUP(Table17[[#This Row],[TeamName]],WTeams!A:B,2,FALSE)</f>
        <v>3397</v>
      </c>
      <c r="G20">
        <f t="shared" si="0"/>
        <v>1</v>
      </c>
    </row>
    <row r="21" spans="1:7" x14ac:dyDescent="0.3">
      <c r="A21">
        <v>4</v>
      </c>
      <c r="B21">
        <v>9</v>
      </c>
      <c r="C21" t="s">
        <v>380</v>
      </c>
      <c r="D21" t="s">
        <v>494</v>
      </c>
      <c r="E21">
        <f>VLOOKUP(Table17[[#This Row],[TeamName]],WTeams!A:B,2,FALSE)</f>
        <v>3393</v>
      </c>
      <c r="G21">
        <f t="shared" si="0"/>
        <v>1</v>
      </c>
    </row>
    <row r="22" spans="1:7" x14ac:dyDescent="0.3">
      <c r="A22">
        <v>5</v>
      </c>
      <c r="B22">
        <v>5</v>
      </c>
      <c r="C22" t="s">
        <v>69</v>
      </c>
      <c r="D22" t="s">
        <v>494</v>
      </c>
      <c r="E22">
        <f>VLOOKUP(Table17[[#This Row],[TeamName]],WTeams!A:B,2,FALSE)</f>
        <v>3246</v>
      </c>
      <c r="G22">
        <f t="shared" si="0"/>
        <v>1</v>
      </c>
    </row>
    <row r="23" spans="1:7" x14ac:dyDescent="0.3">
      <c r="A23">
        <v>6</v>
      </c>
      <c r="B23">
        <v>12</v>
      </c>
      <c r="C23" t="s">
        <v>270</v>
      </c>
      <c r="D23" t="s">
        <v>494</v>
      </c>
      <c r="E23">
        <f>VLOOKUP(Table17[[#This Row],[TeamName]],WTeams!A:B,2,FALSE)</f>
        <v>3275</v>
      </c>
      <c r="G23">
        <f t="shared" si="0"/>
        <v>1</v>
      </c>
    </row>
    <row r="24" spans="1:7" x14ac:dyDescent="0.3">
      <c r="A24">
        <v>7</v>
      </c>
      <c r="B24">
        <v>4</v>
      </c>
      <c r="C24" t="s">
        <v>426</v>
      </c>
      <c r="D24" t="s">
        <v>494</v>
      </c>
      <c r="E24">
        <f>VLOOKUP(Table17[[#This Row],[TeamName]],WTeams!A:B,2,FALSE)</f>
        <v>3452</v>
      </c>
      <c r="G24">
        <f t="shared" si="0"/>
        <v>1</v>
      </c>
    </row>
    <row r="25" spans="1:7" x14ac:dyDescent="0.3">
      <c r="A25">
        <v>8</v>
      </c>
      <c r="B25">
        <v>13</v>
      </c>
      <c r="C25" t="s">
        <v>80</v>
      </c>
      <c r="D25" t="s">
        <v>494</v>
      </c>
      <c r="E25">
        <f>VLOOKUP(Table17[[#This Row],[TeamName]],WTeams!A:B,2,FALSE)</f>
        <v>3407</v>
      </c>
      <c r="G25">
        <f t="shared" si="0"/>
        <v>1</v>
      </c>
    </row>
    <row r="26" spans="1:7" x14ac:dyDescent="0.3">
      <c r="A26">
        <v>9</v>
      </c>
      <c r="B26">
        <v>6</v>
      </c>
      <c r="C26" t="s">
        <v>134</v>
      </c>
      <c r="D26" t="s">
        <v>494</v>
      </c>
      <c r="E26">
        <f>VLOOKUP(Table17[[#This Row],[TeamName]],WTeams!A:B,2,FALSE)</f>
        <v>3124</v>
      </c>
      <c r="G26">
        <f t="shared" si="0"/>
        <v>1</v>
      </c>
    </row>
    <row r="27" spans="1:7" x14ac:dyDescent="0.3">
      <c r="A27">
        <v>10</v>
      </c>
      <c r="B27">
        <v>11</v>
      </c>
      <c r="C27" t="s">
        <v>336</v>
      </c>
      <c r="D27" t="s">
        <v>494</v>
      </c>
      <c r="E27">
        <f>VLOOKUP(Table17[[#This Row],[TeamName]],WTeams!A:B,2,FALSE)</f>
        <v>3348</v>
      </c>
      <c r="G27">
        <f t="shared" si="0"/>
        <v>1</v>
      </c>
    </row>
    <row r="28" spans="1:7" x14ac:dyDescent="0.3">
      <c r="A28">
        <v>11</v>
      </c>
      <c r="B28">
        <v>3</v>
      </c>
      <c r="C28" t="s">
        <v>103</v>
      </c>
      <c r="D28" t="s">
        <v>494</v>
      </c>
      <c r="E28">
        <f>VLOOKUP(Table17[[#This Row],[TeamName]],WTeams!A:B,2,FALSE)</f>
        <v>3257</v>
      </c>
      <c r="G28">
        <f t="shared" si="0"/>
        <v>1</v>
      </c>
    </row>
    <row r="29" spans="1:7" x14ac:dyDescent="0.3">
      <c r="A29">
        <v>12</v>
      </c>
      <c r="B29">
        <v>14</v>
      </c>
      <c r="C29" t="s">
        <v>165</v>
      </c>
      <c r="D29" t="s">
        <v>494</v>
      </c>
      <c r="E29">
        <f>VLOOKUP(Table17[[#This Row],[TeamName]],WTeams!A:B,2,FALSE)</f>
        <v>3158</v>
      </c>
      <c r="G29">
        <f t="shared" si="0"/>
        <v>1</v>
      </c>
    </row>
    <row r="30" spans="1:7" x14ac:dyDescent="0.3">
      <c r="A30">
        <v>13</v>
      </c>
      <c r="B30">
        <v>7</v>
      </c>
      <c r="C30" t="s">
        <v>423</v>
      </c>
      <c r="D30" t="s">
        <v>494</v>
      </c>
      <c r="E30">
        <f>VLOOKUP(Table17[[#This Row],[TeamName]],WTeams!A:B,2,FALSE)</f>
        <v>3449</v>
      </c>
      <c r="G30">
        <f t="shared" si="0"/>
        <v>1</v>
      </c>
    </row>
    <row r="31" spans="1:7" x14ac:dyDescent="0.3">
      <c r="A31">
        <v>14</v>
      </c>
      <c r="B31">
        <v>10</v>
      </c>
      <c r="C31" t="s">
        <v>167</v>
      </c>
      <c r="D31" t="s">
        <v>494</v>
      </c>
      <c r="E31">
        <f>VLOOKUP(Table17[[#This Row],[TeamName]],WTeams!A:B,2,FALSE)</f>
        <v>3160</v>
      </c>
      <c r="G31">
        <f t="shared" si="0"/>
        <v>1</v>
      </c>
    </row>
    <row r="32" spans="1:7" x14ac:dyDescent="0.3">
      <c r="A32">
        <v>15</v>
      </c>
      <c r="B32">
        <v>2</v>
      </c>
      <c r="C32" t="s">
        <v>256</v>
      </c>
      <c r="D32" t="s">
        <v>494</v>
      </c>
      <c r="E32">
        <f>VLOOKUP(Table17[[#This Row],[TeamName]],WTeams!A:B,2,FALSE)</f>
        <v>3261</v>
      </c>
      <c r="G32">
        <f t="shared" si="0"/>
        <v>1</v>
      </c>
    </row>
    <row r="33" spans="1:7" x14ac:dyDescent="0.3">
      <c r="A33">
        <v>16</v>
      </c>
      <c r="B33">
        <v>15</v>
      </c>
      <c r="C33" t="s">
        <v>71</v>
      </c>
      <c r="D33" t="s">
        <v>494</v>
      </c>
      <c r="E33">
        <f>VLOOKUP(Table17[[#This Row],[TeamName]],WTeams!A:B,2,FALSE)</f>
        <v>3298</v>
      </c>
      <c r="G33">
        <f t="shared" si="0"/>
        <v>1</v>
      </c>
    </row>
    <row r="34" spans="1:7" x14ac:dyDescent="0.3">
      <c r="A34">
        <v>1</v>
      </c>
      <c r="B34">
        <v>1</v>
      </c>
      <c r="C34" t="s">
        <v>95</v>
      </c>
      <c r="D34" t="s">
        <v>495</v>
      </c>
      <c r="E34">
        <f>VLOOKUP(Table17[[#This Row],[TeamName]],WTeams!A:B,2,FALSE)</f>
        <v>3400</v>
      </c>
      <c r="G34">
        <f t="shared" si="0"/>
        <v>1</v>
      </c>
    </row>
    <row r="35" spans="1:7" x14ac:dyDescent="0.3">
      <c r="A35">
        <v>2</v>
      </c>
      <c r="B35">
        <v>16</v>
      </c>
      <c r="C35" t="s">
        <v>117</v>
      </c>
      <c r="D35" t="s">
        <v>495</v>
      </c>
      <c r="E35">
        <f>VLOOKUP(Table17[[#This Row],[TeamName]],WTeams!A:B,2,FALSE)</f>
        <v>3105</v>
      </c>
      <c r="F35" t="s">
        <v>347</v>
      </c>
      <c r="G35">
        <f t="shared" si="0"/>
        <v>1</v>
      </c>
    </row>
    <row r="36" spans="1:7" x14ac:dyDescent="0.3">
      <c r="A36">
        <v>3</v>
      </c>
      <c r="B36">
        <v>8</v>
      </c>
      <c r="C36" t="s">
        <v>104</v>
      </c>
      <c r="D36" t="s">
        <v>495</v>
      </c>
      <c r="E36">
        <f>VLOOKUP(Table17[[#This Row],[TeamName]],WTeams!A:B,2,FALSE)</f>
        <v>3437</v>
      </c>
      <c r="G36">
        <f t="shared" si="0"/>
        <v>1</v>
      </c>
    </row>
    <row r="37" spans="1:7" x14ac:dyDescent="0.3">
      <c r="A37">
        <v>4</v>
      </c>
      <c r="B37">
        <v>9</v>
      </c>
      <c r="C37" t="s">
        <v>413</v>
      </c>
      <c r="D37" t="s">
        <v>495</v>
      </c>
      <c r="E37">
        <f>VLOOKUP(Table17[[#This Row],[TeamName]],WTeams!A:B,2,FALSE)</f>
        <v>3439</v>
      </c>
      <c r="G37">
        <f t="shared" si="0"/>
        <v>1</v>
      </c>
    </row>
    <row r="38" spans="1:7" x14ac:dyDescent="0.3">
      <c r="A38">
        <v>5</v>
      </c>
      <c r="B38">
        <v>5</v>
      </c>
      <c r="C38" t="s">
        <v>271</v>
      </c>
      <c r="D38" t="s">
        <v>495</v>
      </c>
      <c r="E38">
        <f>VLOOKUP(Table17[[#This Row],[TeamName]],WTeams!A:B,2,FALSE)</f>
        <v>3277</v>
      </c>
      <c r="G38">
        <f t="shared" si="0"/>
        <v>1</v>
      </c>
    </row>
    <row r="39" spans="1:7" x14ac:dyDescent="0.3">
      <c r="A39">
        <v>6</v>
      </c>
      <c r="B39">
        <v>12</v>
      </c>
      <c r="C39" t="s">
        <v>286</v>
      </c>
      <c r="D39" t="s">
        <v>495</v>
      </c>
      <c r="E39">
        <f>VLOOKUP(Table17[[#This Row],[TeamName]],WTeams!A:B,2,FALSE)</f>
        <v>3293</v>
      </c>
      <c r="G39">
        <f t="shared" si="0"/>
        <v>1</v>
      </c>
    </row>
    <row r="40" spans="1:7" x14ac:dyDescent="0.3">
      <c r="A40">
        <v>7</v>
      </c>
      <c r="B40">
        <v>4</v>
      </c>
      <c r="C40" t="s">
        <v>317</v>
      </c>
      <c r="D40" t="s">
        <v>495</v>
      </c>
      <c r="E40">
        <f>VLOOKUP(Table17[[#This Row],[TeamName]],WTeams!A:B,2,FALSE)</f>
        <v>3328</v>
      </c>
      <c r="G40">
        <f t="shared" si="0"/>
        <v>1</v>
      </c>
    </row>
    <row r="41" spans="1:7" x14ac:dyDescent="0.3">
      <c r="A41">
        <v>8</v>
      </c>
      <c r="B41">
        <v>13</v>
      </c>
      <c r="C41" t="s">
        <v>401</v>
      </c>
      <c r="D41" t="s">
        <v>495</v>
      </c>
      <c r="E41">
        <f>VLOOKUP(Table17[[#This Row],[TeamName]],WTeams!A:B,2,FALSE)</f>
        <v>3424</v>
      </c>
      <c r="G41">
        <f t="shared" si="0"/>
        <v>1</v>
      </c>
    </row>
    <row r="42" spans="1:7" x14ac:dyDescent="0.3">
      <c r="A42">
        <v>9</v>
      </c>
      <c r="B42">
        <v>6</v>
      </c>
      <c r="C42" t="s">
        <v>312</v>
      </c>
      <c r="D42" t="s">
        <v>495</v>
      </c>
      <c r="E42">
        <f>VLOOKUP(Table17[[#This Row],[TeamName]],WTeams!A:B,2,FALSE)</f>
        <v>3323</v>
      </c>
      <c r="G42">
        <f t="shared" si="0"/>
        <v>1</v>
      </c>
    </row>
    <row r="43" spans="1:7" x14ac:dyDescent="0.3">
      <c r="A43">
        <v>10</v>
      </c>
      <c r="B43">
        <v>11</v>
      </c>
      <c r="C43" t="s">
        <v>337</v>
      </c>
      <c r="D43" t="s">
        <v>495</v>
      </c>
      <c r="E43">
        <f>VLOOKUP(Table17[[#This Row],[TeamName]],WTeams!A:B,2,FALSE)</f>
        <v>3349</v>
      </c>
      <c r="G43">
        <f t="shared" si="0"/>
        <v>1</v>
      </c>
    </row>
    <row r="44" spans="1:7" x14ac:dyDescent="0.3">
      <c r="A44">
        <v>11</v>
      </c>
      <c r="B44">
        <v>3</v>
      </c>
      <c r="C44" t="s">
        <v>315</v>
      </c>
      <c r="D44" t="s">
        <v>495</v>
      </c>
      <c r="E44">
        <f>VLOOKUP(Table17[[#This Row],[TeamName]],WTeams!A:B,2,FALSE)</f>
        <v>3326</v>
      </c>
      <c r="G44">
        <f t="shared" si="0"/>
        <v>1</v>
      </c>
    </row>
    <row r="45" spans="1:7" x14ac:dyDescent="0.3">
      <c r="A45">
        <v>12</v>
      </c>
      <c r="B45">
        <v>14</v>
      </c>
      <c r="C45" t="s">
        <v>412</v>
      </c>
      <c r="D45" t="s">
        <v>495</v>
      </c>
      <c r="E45">
        <f>VLOOKUP(Table17[[#This Row],[TeamName]],WTeams!A:B,2,FALSE)</f>
        <v>3436</v>
      </c>
      <c r="G45">
        <f t="shared" si="0"/>
        <v>1</v>
      </c>
    </row>
    <row r="46" spans="1:7" x14ac:dyDescent="0.3">
      <c r="A46">
        <v>13</v>
      </c>
      <c r="B46">
        <v>7</v>
      </c>
      <c r="C46" t="s">
        <v>74</v>
      </c>
      <c r="D46" t="s">
        <v>495</v>
      </c>
      <c r="E46">
        <f>VLOOKUP(Table17[[#This Row],[TeamName]],WTeams!A:B,2,FALSE)</f>
        <v>3208</v>
      </c>
      <c r="G46">
        <f t="shared" si="0"/>
        <v>1</v>
      </c>
    </row>
    <row r="47" spans="1:7" x14ac:dyDescent="0.3">
      <c r="A47">
        <v>14</v>
      </c>
      <c r="B47">
        <v>10</v>
      </c>
      <c r="C47" t="s">
        <v>332</v>
      </c>
      <c r="D47" t="s">
        <v>495</v>
      </c>
      <c r="E47">
        <f>VLOOKUP(Table17[[#This Row],[TeamName]],WTeams!A:B,2,FALSE)</f>
        <v>3343</v>
      </c>
      <c r="G47">
        <f t="shared" si="0"/>
        <v>1</v>
      </c>
    </row>
    <row r="48" spans="1:7" x14ac:dyDescent="0.3">
      <c r="A48">
        <v>15</v>
      </c>
      <c r="B48">
        <v>2</v>
      </c>
      <c r="C48" t="s">
        <v>97</v>
      </c>
      <c r="D48" t="s">
        <v>495</v>
      </c>
      <c r="E48">
        <f>VLOOKUP(Table17[[#This Row],[TeamName]],WTeams!A:B,2,FALSE)</f>
        <v>3181</v>
      </c>
      <c r="G48">
        <f t="shared" si="0"/>
        <v>1</v>
      </c>
    </row>
    <row r="49" spans="1:7" x14ac:dyDescent="0.3">
      <c r="A49">
        <v>16</v>
      </c>
      <c r="B49">
        <v>15</v>
      </c>
      <c r="C49" t="s">
        <v>238</v>
      </c>
      <c r="D49" t="s">
        <v>495</v>
      </c>
      <c r="E49">
        <f>VLOOKUP(Table17[[#This Row],[TeamName]],WTeams!A:B,2,FALSE)</f>
        <v>3239</v>
      </c>
      <c r="G49">
        <f t="shared" si="0"/>
        <v>1</v>
      </c>
    </row>
    <row r="50" spans="1:7" x14ac:dyDescent="0.3">
      <c r="A50">
        <v>1</v>
      </c>
      <c r="B50">
        <v>1</v>
      </c>
      <c r="C50" t="s">
        <v>363</v>
      </c>
      <c r="D50" t="s">
        <v>496</v>
      </c>
      <c r="E50">
        <f>VLOOKUP(Table17[[#This Row],[TeamName]],WTeams!A:B,2,FALSE)</f>
        <v>3376</v>
      </c>
      <c r="G50">
        <f t="shared" si="0"/>
        <v>1</v>
      </c>
    </row>
    <row r="51" spans="1:7" x14ac:dyDescent="0.3">
      <c r="A51">
        <v>2</v>
      </c>
      <c r="B51">
        <v>16</v>
      </c>
      <c r="C51" t="s">
        <v>68</v>
      </c>
      <c r="D51" t="s">
        <v>496</v>
      </c>
      <c r="E51">
        <f>VLOOKUP(Table17[[#This Row],[TeamName]],WTeams!A:B,2,FALSE)</f>
        <v>3219</v>
      </c>
      <c r="G51">
        <f t="shared" si="0"/>
        <v>1</v>
      </c>
    </row>
    <row r="52" spans="1:7" x14ac:dyDescent="0.3">
      <c r="A52">
        <v>3</v>
      </c>
      <c r="B52">
        <v>8</v>
      </c>
      <c r="C52" t="s">
        <v>318</v>
      </c>
      <c r="D52" t="s">
        <v>496</v>
      </c>
      <c r="E52">
        <f>VLOOKUP(Table17[[#This Row],[TeamName]],WTeams!A:B,2,FALSE)</f>
        <v>3329</v>
      </c>
      <c r="G52">
        <f t="shared" si="0"/>
        <v>1</v>
      </c>
    </row>
    <row r="53" spans="1:7" x14ac:dyDescent="0.3">
      <c r="A53">
        <v>4</v>
      </c>
      <c r="B53">
        <v>9</v>
      </c>
      <c r="C53" t="s">
        <v>402</v>
      </c>
      <c r="D53" t="s">
        <v>496</v>
      </c>
      <c r="E53">
        <f>VLOOKUP(Table17[[#This Row],[TeamName]],WTeams!A:B,2,FALSE)</f>
        <v>3425</v>
      </c>
      <c r="G53">
        <f t="shared" si="0"/>
        <v>1</v>
      </c>
    </row>
    <row r="54" spans="1:7" x14ac:dyDescent="0.3">
      <c r="A54">
        <v>5</v>
      </c>
      <c r="B54">
        <v>5</v>
      </c>
      <c r="C54" t="s">
        <v>91</v>
      </c>
      <c r="D54" t="s">
        <v>496</v>
      </c>
      <c r="E54">
        <f>VLOOKUP(Table17[[#This Row],[TeamName]],WTeams!A:B,2,FALSE)</f>
        <v>3314</v>
      </c>
      <c r="G54">
        <f t="shared" si="0"/>
        <v>1</v>
      </c>
    </row>
    <row r="55" spans="1:7" x14ac:dyDescent="0.3">
      <c r="A55">
        <v>6</v>
      </c>
      <c r="B55">
        <v>12</v>
      </c>
      <c r="C55" t="s">
        <v>427</v>
      </c>
      <c r="D55" t="s">
        <v>496</v>
      </c>
      <c r="E55">
        <f>VLOOKUP(Table17[[#This Row],[TeamName]],WTeams!A:B,2,FALSE)</f>
        <v>3453</v>
      </c>
      <c r="G55">
        <f t="shared" si="0"/>
        <v>1</v>
      </c>
    </row>
    <row r="56" spans="1:7" x14ac:dyDescent="0.3">
      <c r="A56">
        <v>7</v>
      </c>
      <c r="B56">
        <v>4</v>
      </c>
      <c r="C56" t="s">
        <v>272</v>
      </c>
      <c r="D56" t="s">
        <v>496</v>
      </c>
      <c r="E56">
        <f>VLOOKUP(Table17[[#This Row],[TeamName]],WTeams!A:B,2,FALSE)</f>
        <v>3278</v>
      </c>
      <c r="G56">
        <f t="shared" si="0"/>
        <v>1</v>
      </c>
    </row>
    <row r="57" spans="1:7" x14ac:dyDescent="0.3">
      <c r="A57">
        <v>8</v>
      </c>
      <c r="B57">
        <v>13</v>
      </c>
      <c r="C57" t="s">
        <v>93</v>
      </c>
      <c r="D57" t="s">
        <v>496</v>
      </c>
      <c r="E57">
        <f>VLOOKUP(Table17[[#This Row],[TeamName]],WTeams!A:B,2,FALSE)</f>
        <v>3414</v>
      </c>
      <c r="G57">
        <f t="shared" si="0"/>
        <v>1</v>
      </c>
    </row>
    <row r="58" spans="1:7" x14ac:dyDescent="0.3">
      <c r="A58">
        <v>9</v>
      </c>
      <c r="B58">
        <v>6</v>
      </c>
      <c r="C58" t="s">
        <v>67</v>
      </c>
      <c r="D58" t="s">
        <v>496</v>
      </c>
      <c r="E58">
        <f>VLOOKUP(Table17[[#This Row],[TeamName]],WTeams!A:B,2,FALSE)</f>
        <v>3104</v>
      </c>
      <c r="G58">
        <f t="shared" si="0"/>
        <v>1</v>
      </c>
    </row>
    <row r="59" spans="1:7" x14ac:dyDescent="0.3">
      <c r="A59">
        <v>10</v>
      </c>
      <c r="B59">
        <v>11</v>
      </c>
      <c r="C59" t="s">
        <v>92</v>
      </c>
      <c r="D59" t="s">
        <v>496</v>
      </c>
      <c r="E59">
        <f>VLOOKUP(Table17[[#This Row],[TeamName]],WTeams!A:B,2,FALSE)</f>
        <v>3304</v>
      </c>
      <c r="F59" t="s">
        <v>338</v>
      </c>
      <c r="G59">
        <f t="shared" si="0"/>
        <v>1</v>
      </c>
    </row>
    <row r="60" spans="1:7" x14ac:dyDescent="0.3">
      <c r="A60">
        <v>11</v>
      </c>
      <c r="B60">
        <v>3</v>
      </c>
      <c r="C60" t="s">
        <v>105</v>
      </c>
      <c r="D60" t="s">
        <v>496</v>
      </c>
      <c r="E60">
        <f>VLOOKUP(Table17[[#This Row],[TeamName]],WTeams!A:B,2,FALSE)</f>
        <v>3395</v>
      </c>
      <c r="G60">
        <f t="shared" si="0"/>
        <v>1</v>
      </c>
    </row>
    <row r="61" spans="1:7" x14ac:dyDescent="0.3">
      <c r="A61">
        <v>12</v>
      </c>
      <c r="B61">
        <v>14</v>
      </c>
      <c r="C61" t="s">
        <v>226</v>
      </c>
      <c r="D61" t="s">
        <v>496</v>
      </c>
      <c r="E61">
        <f>VLOOKUP(Table17[[#This Row],[TeamName]],WTeams!A:B,2,FALSE)</f>
        <v>3225</v>
      </c>
      <c r="G61">
        <f t="shared" si="0"/>
        <v>1</v>
      </c>
    </row>
    <row r="62" spans="1:7" x14ac:dyDescent="0.3">
      <c r="A62">
        <v>13</v>
      </c>
      <c r="B62">
        <v>7</v>
      </c>
      <c r="C62" t="s">
        <v>321</v>
      </c>
      <c r="D62" t="s">
        <v>496</v>
      </c>
      <c r="E62">
        <f>VLOOKUP(Table17[[#This Row],[TeamName]],WTeams!A:B,2,FALSE)</f>
        <v>3332</v>
      </c>
      <c r="G62">
        <f t="shared" si="0"/>
        <v>1</v>
      </c>
    </row>
    <row r="63" spans="1:7" x14ac:dyDescent="0.3">
      <c r="A63">
        <v>14</v>
      </c>
      <c r="B63">
        <v>10</v>
      </c>
      <c r="C63" t="s">
        <v>343</v>
      </c>
      <c r="D63" t="s">
        <v>496</v>
      </c>
      <c r="E63">
        <f>VLOOKUP(Table17[[#This Row],[TeamName]],WTeams!A:B,2,FALSE)</f>
        <v>3355</v>
      </c>
      <c r="G63">
        <f t="shared" si="0"/>
        <v>1</v>
      </c>
    </row>
    <row r="64" spans="1:7" x14ac:dyDescent="0.3">
      <c r="A64">
        <v>15</v>
      </c>
      <c r="B64">
        <v>2</v>
      </c>
      <c r="C64" t="s">
        <v>98</v>
      </c>
      <c r="D64" t="s">
        <v>496</v>
      </c>
      <c r="E64">
        <f>VLOOKUP(Table17[[#This Row],[TeamName]],WTeams!A:B,2,FALSE)</f>
        <v>3234</v>
      </c>
      <c r="G64">
        <f t="shared" si="0"/>
        <v>1</v>
      </c>
    </row>
    <row r="65" spans="1:7" x14ac:dyDescent="0.3">
      <c r="A65">
        <v>16</v>
      </c>
      <c r="B65">
        <v>15</v>
      </c>
      <c r="C65" t="s">
        <v>416</v>
      </c>
      <c r="D65" t="s">
        <v>496</v>
      </c>
      <c r="E65">
        <f>VLOOKUP(Table17[[#This Row],[TeamName]],WTeams!A:B,2,FALSE)</f>
        <v>3442</v>
      </c>
      <c r="G65">
        <f t="shared" si="0"/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B695F-6110-4E6E-B5C2-AAC13C544990}">
  <dimension ref="A1:B380"/>
  <sheetViews>
    <sheetView topLeftCell="A260" workbookViewId="0">
      <selection activeCell="A352" sqref="A352"/>
    </sheetView>
  </sheetViews>
  <sheetFormatPr defaultRowHeight="14.4" x14ac:dyDescent="0.3"/>
  <sheetData>
    <row r="1" spans="1:2" x14ac:dyDescent="0.3">
      <c r="A1" t="s">
        <v>111</v>
      </c>
      <c r="B1" t="s">
        <v>2</v>
      </c>
    </row>
    <row r="2" spans="1:2" x14ac:dyDescent="0.3">
      <c r="A2" t="s">
        <v>114</v>
      </c>
      <c r="B2">
        <v>3101</v>
      </c>
    </row>
    <row r="3" spans="1:2" x14ac:dyDescent="0.3">
      <c r="A3" t="s">
        <v>115</v>
      </c>
      <c r="B3">
        <v>3102</v>
      </c>
    </row>
    <row r="4" spans="1:2" x14ac:dyDescent="0.3">
      <c r="A4" t="s">
        <v>116</v>
      </c>
      <c r="B4">
        <v>3103</v>
      </c>
    </row>
    <row r="5" spans="1:2" x14ac:dyDescent="0.3">
      <c r="A5" t="s">
        <v>67</v>
      </c>
      <c r="B5">
        <v>3104</v>
      </c>
    </row>
    <row r="6" spans="1:2" x14ac:dyDescent="0.3">
      <c r="A6" t="s">
        <v>117</v>
      </c>
      <c r="B6">
        <v>3105</v>
      </c>
    </row>
    <row r="7" spans="1:2" x14ac:dyDescent="0.3">
      <c r="A7" t="s">
        <v>118</v>
      </c>
      <c r="B7">
        <v>3106</v>
      </c>
    </row>
    <row r="8" spans="1:2" x14ac:dyDescent="0.3">
      <c r="A8" t="s">
        <v>119</v>
      </c>
      <c r="B8">
        <v>3107</v>
      </c>
    </row>
    <row r="9" spans="1:2" x14ac:dyDescent="0.3">
      <c r="A9" t="s">
        <v>120</v>
      </c>
      <c r="B9">
        <v>3108</v>
      </c>
    </row>
    <row r="10" spans="1:2" x14ac:dyDescent="0.3">
      <c r="A10" t="s">
        <v>121</v>
      </c>
      <c r="B10">
        <v>3109</v>
      </c>
    </row>
    <row r="11" spans="1:2" x14ac:dyDescent="0.3">
      <c r="A11" t="s">
        <v>122</v>
      </c>
      <c r="B11">
        <v>3110</v>
      </c>
    </row>
    <row r="12" spans="1:2" x14ac:dyDescent="0.3">
      <c r="A12" t="s">
        <v>123</v>
      </c>
      <c r="B12">
        <v>3111</v>
      </c>
    </row>
    <row r="13" spans="1:2" x14ac:dyDescent="0.3">
      <c r="A13" t="s">
        <v>63</v>
      </c>
      <c r="B13">
        <v>3112</v>
      </c>
    </row>
    <row r="14" spans="1:2" x14ac:dyDescent="0.3">
      <c r="A14" t="s">
        <v>124</v>
      </c>
      <c r="B14">
        <v>3113</v>
      </c>
    </row>
    <row r="15" spans="1:2" x14ac:dyDescent="0.3">
      <c r="A15" t="s">
        <v>125</v>
      </c>
      <c r="B15">
        <v>3114</v>
      </c>
    </row>
    <row r="16" spans="1:2" x14ac:dyDescent="0.3">
      <c r="A16" t="s">
        <v>126</v>
      </c>
      <c r="B16">
        <v>3115</v>
      </c>
    </row>
    <row r="17" spans="1:2" x14ac:dyDescent="0.3">
      <c r="A17" t="s">
        <v>75</v>
      </c>
      <c r="B17">
        <v>3116</v>
      </c>
    </row>
    <row r="18" spans="1:2" x14ac:dyDescent="0.3">
      <c r="A18" t="s">
        <v>127</v>
      </c>
      <c r="B18">
        <v>3117</v>
      </c>
    </row>
    <row r="19" spans="1:2" x14ac:dyDescent="0.3">
      <c r="A19" t="s">
        <v>128</v>
      </c>
      <c r="B19">
        <v>3118</v>
      </c>
    </row>
    <row r="20" spans="1:2" x14ac:dyDescent="0.3">
      <c r="A20" t="s">
        <v>129</v>
      </c>
      <c r="B20">
        <v>3119</v>
      </c>
    </row>
    <row r="21" spans="1:2" x14ac:dyDescent="0.3">
      <c r="A21" t="s">
        <v>130</v>
      </c>
      <c r="B21">
        <v>3120</v>
      </c>
    </row>
    <row r="22" spans="1:2" x14ac:dyDescent="0.3">
      <c r="A22" t="s">
        <v>131</v>
      </c>
      <c r="B22">
        <v>3121</v>
      </c>
    </row>
    <row r="23" spans="1:2" x14ac:dyDescent="0.3">
      <c r="A23" t="s">
        <v>132</v>
      </c>
      <c r="B23">
        <v>3122</v>
      </c>
    </row>
    <row r="24" spans="1:2" x14ac:dyDescent="0.3">
      <c r="A24" t="s">
        <v>133</v>
      </c>
      <c r="B24">
        <v>3123</v>
      </c>
    </row>
    <row r="25" spans="1:2" x14ac:dyDescent="0.3">
      <c r="A25" t="s">
        <v>134</v>
      </c>
      <c r="B25">
        <v>3124</v>
      </c>
    </row>
    <row r="26" spans="1:2" x14ac:dyDescent="0.3">
      <c r="A26" t="s">
        <v>66</v>
      </c>
      <c r="B26">
        <v>3125</v>
      </c>
    </row>
    <row r="27" spans="1:2" x14ac:dyDescent="0.3">
      <c r="A27" t="s">
        <v>135</v>
      </c>
      <c r="B27">
        <v>3126</v>
      </c>
    </row>
    <row r="28" spans="1:2" x14ac:dyDescent="0.3">
      <c r="A28" t="s">
        <v>136</v>
      </c>
      <c r="B28">
        <v>3127</v>
      </c>
    </row>
    <row r="29" spans="1:2" x14ac:dyDescent="0.3">
      <c r="A29" t="s">
        <v>137</v>
      </c>
      <c r="B29">
        <v>3128</v>
      </c>
    </row>
    <row r="30" spans="1:2" x14ac:dyDescent="0.3">
      <c r="A30" t="s">
        <v>138</v>
      </c>
      <c r="B30">
        <v>3129</v>
      </c>
    </row>
    <row r="31" spans="1:2" x14ac:dyDescent="0.3">
      <c r="A31" t="s">
        <v>139</v>
      </c>
      <c r="B31">
        <v>3130</v>
      </c>
    </row>
    <row r="32" spans="1:2" x14ac:dyDescent="0.3">
      <c r="A32" t="s">
        <v>140</v>
      </c>
      <c r="B32">
        <v>3131</v>
      </c>
    </row>
    <row r="33" spans="1:2" x14ac:dyDescent="0.3">
      <c r="A33" t="s">
        <v>141</v>
      </c>
      <c r="B33">
        <v>3132</v>
      </c>
    </row>
    <row r="34" spans="1:2" x14ac:dyDescent="0.3">
      <c r="A34" t="s">
        <v>142</v>
      </c>
      <c r="B34">
        <v>3133</v>
      </c>
    </row>
    <row r="35" spans="1:2" x14ac:dyDescent="0.3">
      <c r="A35" t="s">
        <v>143</v>
      </c>
      <c r="B35">
        <v>3134</v>
      </c>
    </row>
    <row r="36" spans="1:2" x14ac:dyDescent="0.3">
      <c r="A36" t="s">
        <v>144</v>
      </c>
      <c r="B36">
        <v>3135</v>
      </c>
    </row>
    <row r="37" spans="1:2" x14ac:dyDescent="0.3">
      <c r="A37" t="s">
        <v>145</v>
      </c>
      <c r="B37">
        <v>3136</v>
      </c>
    </row>
    <row r="38" spans="1:2" x14ac:dyDescent="0.3">
      <c r="A38" t="s">
        <v>146</v>
      </c>
      <c r="B38">
        <v>3137</v>
      </c>
    </row>
    <row r="39" spans="1:2" x14ac:dyDescent="0.3">
      <c r="A39" t="s">
        <v>147</v>
      </c>
      <c r="B39">
        <v>3138</v>
      </c>
    </row>
    <row r="40" spans="1:2" x14ac:dyDescent="0.3">
      <c r="A40" t="s">
        <v>148</v>
      </c>
      <c r="B40">
        <v>3139</v>
      </c>
    </row>
    <row r="41" spans="1:2" x14ac:dyDescent="0.3">
      <c r="A41" t="s">
        <v>77</v>
      </c>
      <c r="B41">
        <v>3140</v>
      </c>
    </row>
    <row r="42" spans="1:2" x14ac:dyDescent="0.3">
      <c r="A42" t="s">
        <v>149</v>
      </c>
      <c r="B42">
        <v>3141</v>
      </c>
    </row>
    <row r="43" spans="1:2" x14ac:dyDescent="0.3">
      <c r="A43" t="s">
        <v>150</v>
      </c>
      <c r="B43">
        <v>3142</v>
      </c>
    </row>
    <row r="44" spans="1:2" x14ac:dyDescent="0.3">
      <c r="A44" t="s">
        <v>151</v>
      </c>
      <c r="B44">
        <v>3143</v>
      </c>
    </row>
    <row r="45" spans="1:2" x14ac:dyDescent="0.3">
      <c r="A45" t="s">
        <v>152</v>
      </c>
      <c r="B45">
        <v>3144</v>
      </c>
    </row>
    <row r="46" spans="1:2" x14ac:dyDescent="0.3">
      <c r="A46" t="s">
        <v>153</v>
      </c>
      <c r="B46">
        <v>3145</v>
      </c>
    </row>
    <row r="47" spans="1:2" x14ac:dyDescent="0.3">
      <c r="A47" t="s">
        <v>154</v>
      </c>
      <c r="B47">
        <v>3146</v>
      </c>
    </row>
    <row r="48" spans="1:2" x14ac:dyDescent="0.3">
      <c r="A48" t="s">
        <v>155</v>
      </c>
      <c r="B48">
        <v>3147</v>
      </c>
    </row>
    <row r="49" spans="1:2" x14ac:dyDescent="0.3">
      <c r="A49" t="s">
        <v>156</v>
      </c>
      <c r="B49">
        <v>3148</v>
      </c>
    </row>
    <row r="50" spans="1:2" x14ac:dyDescent="0.3">
      <c r="A50" t="s">
        <v>157</v>
      </c>
      <c r="B50">
        <v>3149</v>
      </c>
    </row>
    <row r="51" spans="1:2" x14ac:dyDescent="0.3">
      <c r="A51" t="s">
        <v>158</v>
      </c>
      <c r="B51">
        <v>3150</v>
      </c>
    </row>
    <row r="52" spans="1:2" x14ac:dyDescent="0.3">
      <c r="A52" t="s">
        <v>159</v>
      </c>
      <c r="B52">
        <v>3151</v>
      </c>
    </row>
    <row r="53" spans="1:2" x14ac:dyDescent="0.3">
      <c r="A53" t="s">
        <v>160</v>
      </c>
      <c r="B53">
        <v>3152</v>
      </c>
    </row>
    <row r="54" spans="1:2" x14ac:dyDescent="0.3">
      <c r="A54" t="s">
        <v>161</v>
      </c>
      <c r="B54">
        <v>3153</v>
      </c>
    </row>
    <row r="55" spans="1:2" x14ac:dyDescent="0.3">
      <c r="A55" t="s">
        <v>64</v>
      </c>
      <c r="B55">
        <v>3155</v>
      </c>
    </row>
    <row r="56" spans="1:2" x14ac:dyDescent="0.3">
      <c r="A56" t="s">
        <v>163</v>
      </c>
      <c r="B56">
        <v>3156</v>
      </c>
    </row>
    <row r="57" spans="1:2" x14ac:dyDescent="0.3">
      <c r="A57" t="s">
        <v>164</v>
      </c>
      <c r="B57">
        <v>3157</v>
      </c>
    </row>
    <row r="58" spans="1:2" x14ac:dyDescent="0.3">
      <c r="A58" t="s">
        <v>165</v>
      </c>
      <c r="B58">
        <v>3158</v>
      </c>
    </row>
    <row r="59" spans="1:2" x14ac:dyDescent="0.3">
      <c r="A59" t="s">
        <v>166</v>
      </c>
      <c r="B59">
        <v>3159</v>
      </c>
    </row>
    <row r="60" spans="1:2" x14ac:dyDescent="0.3">
      <c r="A60" t="s">
        <v>167</v>
      </c>
      <c r="B60">
        <v>3160</v>
      </c>
    </row>
    <row r="61" spans="1:2" x14ac:dyDescent="0.3">
      <c r="A61" t="s">
        <v>168</v>
      </c>
      <c r="B61">
        <v>3161</v>
      </c>
    </row>
    <row r="62" spans="1:2" x14ac:dyDescent="0.3">
      <c r="A62" t="s">
        <v>169</v>
      </c>
      <c r="B62">
        <v>3162</v>
      </c>
    </row>
    <row r="63" spans="1:2" x14ac:dyDescent="0.3">
      <c r="A63" t="s">
        <v>170</v>
      </c>
      <c r="B63">
        <v>3163</v>
      </c>
    </row>
    <row r="64" spans="1:2" x14ac:dyDescent="0.3">
      <c r="A64" t="s">
        <v>171</v>
      </c>
      <c r="B64">
        <v>3164</v>
      </c>
    </row>
    <row r="65" spans="1:2" x14ac:dyDescent="0.3">
      <c r="A65" t="s">
        <v>172</v>
      </c>
      <c r="B65">
        <v>3165</v>
      </c>
    </row>
    <row r="66" spans="1:2" x14ac:dyDescent="0.3">
      <c r="A66" t="s">
        <v>173</v>
      </c>
      <c r="B66">
        <v>3166</v>
      </c>
    </row>
    <row r="67" spans="1:2" x14ac:dyDescent="0.3">
      <c r="A67" t="s">
        <v>174</v>
      </c>
      <c r="B67">
        <v>3167</v>
      </c>
    </row>
    <row r="68" spans="1:2" x14ac:dyDescent="0.3">
      <c r="A68" t="s">
        <v>175</v>
      </c>
      <c r="B68">
        <v>3168</v>
      </c>
    </row>
    <row r="69" spans="1:2" x14ac:dyDescent="0.3">
      <c r="A69" t="s">
        <v>176</v>
      </c>
      <c r="B69">
        <v>3169</v>
      </c>
    </row>
    <row r="70" spans="1:2" x14ac:dyDescent="0.3">
      <c r="A70" t="s">
        <v>177</v>
      </c>
      <c r="B70">
        <v>3170</v>
      </c>
    </row>
    <row r="71" spans="1:2" x14ac:dyDescent="0.3">
      <c r="A71" t="s">
        <v>178</v>
      </c>
      <c r="B71">
        <v>3171</v>
      </c>
    </row>
    <row r="72" spans="1:2" x14ac:dyDescent="0.3">
      <c r="A72" t="s">
        <v>179</v>
      </c>
      <c r="B72">
        <v>3172</v>
      </c>
    </row>
    <row r="73" spans="1:2" x14ac:dyDescent="0.3">
      <c r="A73" t="s">
        <v>180</v>
      </c>
      <c r="B73">
        <v>3173</v>
      </c>
    </row>
    <row r="74" spans="1:2" x14ac:dyDescent="0.3">
      <c r="A74" t="s">
        <v>181</v>
      </c>
      <c r="B74">
        <v>3174</v>
      </c>
    </row>
    <row r="75" spans="1:2" x14ac:dyDescent="0.3">
      <c r="A75" t="s">
        <v>182</v>
      </c>
      <c r="B75">
        <v>3175</v>
      </c>
    </row>
    <row r="76" spans="1:2" x14ac:dyDescent="0.3">
      <c r="A76" t="s">
        <v>183</v>
      </c>
      <c r="B76">
        <v>3176</v>
      </c>
    </row>
    <row r="77" spans="1:2" x14ac:dyDescent="0.3">
      <c r="A77" t="s">
        <v>184</v>
      </c>
      <c r="B77">
        <v>3177</v>
      </c>
    </row>
    <row r="78" spans="1:2" x14ac:dyDescent="0.3">
      <c r="A78" t="s">
        <v>185</v>
      </c>
      <c r="B78">
        <v>3178</v>
      </c>
    </row>
    <row r="79" spans="1:2" x14ac:dyDescent="0.3">
      <c r="A79" t="s">
        <v>186</v>
      </c>
      <c r="B79">
        <v>3179</v>
      </c>
    </row>
    <row r="80" spans="1:2" x14ac:dyDescent="0.3">
      <c r="A80" t="s">
        <v>187</v>
      </c>
      <c r="B80">
        <v>3180</v>
      </c>
    </row>
    <row r="81" spans="1:2" x14ac:dyDescent="0.3">
      <c r="A81" t="s">
        <v>97</v>
      </c>
      <c r="B81">
        <v>3181</v>
      </c>
    </row>
    <row r="82" spans="1:2" x14ac:dyDescent="0.3">
      <c r="A82" t="s">
        <v>188</v>
      </c>
      <c r="B82">
        <v>3182</v>
      </c>
    </row>
    <row r="83" spans="1:2" x14ac:dyDescent="0.3">
      <c r="A83" t="s">
        <v>189</v>
      </c>
      <c r="B83">
        <v>3183</v>
      </c>
    </row>
    <row r="84" spans="1:2" x14ac:dyDescent="0.3">
      <c r="A84" t="s">
        <v>190</v>
      </c>
      <c r="B84">
        <v>3184</v>
      </c>
    </row>
    <row r="85" spans="1:2" x14ac:dyDescent="0.3">
      <c r="A85" t="s">
        <v>191</v>
      </c>
      <c r="B85">
        <v>3185</v>
      </c>
    </row>
    <row r="86" spans="1:2" x14ac:dyDescent="0.3">
      <c r="A86" t="s">
        <v>192</v>
      </c>
      <c r="B86">
        <v>3186</v>
      </c>
    </row>
    <row r="87" spans="1:2" x14ac:dyDescent="0.3">
      <c r="A87" t="s">
        <v>193</v>
      </c>
      <c r="B87">
        <v>3187</v>
      </c>
    </row>
    <row r="88" spans="1:2" x14ac:dyDescent="0.3">
      <c r="A88" t="s">
        <v>194</v>
      </c>
      <c r="B88">
        <v>3188</v>
      </c>
    </row>
    <row r="89" spans="1:2" x14ac:dyDescent="0.3">
      <c r="A89" t="s">
        <v>195</v>
      </c>
      <c r="B89">
        <v>3189</v>
      </c>
    </row>
    <row r="90" spans="1:2" x14ac:dyDescent="0.3">
      <c r="A90" t="s">
        <v>196</v>
      </c>
      <c r="B90">
        <v>3190</v>
      </c>
    </row>
    <row r="91" spans="1:2" x14ac:dyDescent="0.3">
      <c r="A91" t="s">
        <v>197</v>
      </c>
      <c r="B91">
        <v>3191</v>
      </c>
    </row>
    <row r="92" spans="1:2" x14ac:dyDescent="0.3">
      <c r="A92" t="s">
        <v>198</v>
      </c>
      <c r="B92">
        <v>3192</v>
      </c>
    </row>
    <row r="93" spans="1:2" x14ac:dyDescent="0.3">
      <c r="A93" t="s">
        <v>199</v>
      </c>
      <c r="B93">
        <v>3193</v>
      </c>
    </row>
    <row r="94" spans="1:2" x14ac:dyDescent="0.3">
      <c r="A94" t="s">
        <v>200</v>
      </c>
      <c r="B94">
        <v>3194</v>
      </c>
    </row>
    <row r="95" spans="1:2" x14ac:dyDescent="0.3">
      <c r="A95" t="s">
        <v>201</v>
      </c>
      <c r="B95">
        <v>3195</v>
      </c>
    </row>
    <row r="96" spans="1:2" x14ac:dyDescent="0.3">
      <c r="A96" t="s">
        <v>82</v>
      </c>
      <c r="B96">
        <v>3196</v>
      </c>
    </row>
    <row r="97" spans="1:2" x14ac:dyDescent="0.3">
      <c r="A97" t="s">
        <v>202</v>
      </c>
      <c r="B97">
        <v>3197</v>
      </c>
    </row>
    <row r="98" spans="1:2" x14ac:dyDescent="0.3">
      <c r="A98" t="s">
        <v>203</v>
      </c>
      <c r="B98">
        <v>3198</v>
      </c>
    </row>
    <row r="99" spans="1:2" x14ac:dyDescent="0.3">
      <c r="A99" t="s">
        <v>204</v>
      </c>
      <c r="B99">
        <v>3199</v>
      </c>
    </row>
    <row r="100" spans="1:2" x14ac:dyDescent="0.3">
      <c r="A100" t="s">
        <v>205</v>
      </c>
      <c r="B100">
        <v>3200</v>
      </c>
    </row>
    <row r="101" spans="1:2" x14ac:dyDescent="0.3">
      <c r="A101" t="s">
        <v>206</v>
      </c>
      <c r="B101">
        <v>3201</v>
      </c>
    </row>
    <row r="102" spans="1:2" x14ac:dyDescent="0.3">
      <c r="A102" t="s">
        <v>207</v>
      </c>
      <c r="B102">
        <v>3202</v>
      </c>
    </row>
    <row r="103" spans="1:2" x14ac:dyDescent="0.3">
      <c r="A103" t="s">
        <v>208</v>
      </c>
      <c r="B103">
        <v>3203</v>
      </c>
    </row>
    <row r="104" spans="1:2" x14ac:dyDescent="0.3">
      <c r="A104" t="s">
        <v>209</v>
      </c>
      <c r="B104">
        <v>3204</v>
      </c>
    </row>
    <row r="105" spans="1:2" x14ac:dyDescent="0.3">
      <c r="A105" t="s">
        <v>210</v>
      </c>
      <c r="B105">
        <v>3205</v>
      </c>
    </row>
    <row r="106" spans="1:2" x14ac:dyDescent="0.3">
      <c r="A106" t="s">
        <v>211</v>
      </c>
      <c r="B106">
        <v>3206</v>
      </c>
    </row>
    <row r="107" spans="1:2" x14ac:dyDescent="0.3">
      <c r="A107" t="s">
        <v>212</v>
      </c>
      <c r="B107">
        <v>3207</v>
      </c>
    </row>
    <row r="108" spans="1:2" x14ac:dyDescent="0.3">
      <c r="A108" t="s">
        <v>74</v>
      </c>
      <c r="B108">
        <v>3208</v>
      </c>
    </row>
    <row r="109" spans="1:2" x14ac:dyDescent="0.3">
      <c r="A109" t="s">
        <v>213</v>
      </c>
      <c r="B109">
        <v>3209</v>
      </c>
    </row>
    <row r="110" spans="1:2" x14ac:dyDescent="0.3">
      <c r="A110" t="s">
        <v>214</v>
      </c>
      <c r="B110">
        <v>3210</v>
      </c>
    </row>
    <row r="111" spans="1:2" x14ac:dyDescent="0.3">
      <c r="A111" t="s">
        <v>101</v>
      </c>
      <c r="B111">
        <v>3211</v>
      </c>
    </row>
    <row r="112" spans="1:2" x14ac:dyDescent="0.3">
      <c r="A112" t="s">
        <v>215</v>
      </c>
      <c r="B112">
        <v>3212</v>
      </c>
    </row>
    <row r="113" spans="1:2" x14ac:dyDescent="0.3">
      <c r="A113" t="s">
        <v>216</v>
      </c>
      <c r="B113">
        <v>3213</v>
      </c>
    </row>
    <row r="114" spans="1:2" x14ac:dyDescent="0.3">
      <c r="A114" t="s">
        <v>217</v>
      </c>
      <c r="B114">
        <v>3214</v>
      </c>
    </row>
    <row r="115" spans="1:2" x14ac:dyDescent="0.3">
      <c r="A115" t="s">
        <v>218</v>
      </c>
      <c r="B115">
        <v>3215</v>
      </c>
    </row>
    <row r="116" spans="1:2" x14ac:dyDescent="0.3">
      <c r="A116" t="s">
        <v>219</v>
      </c>
      <c r="B116">
        <v>3216</v>
      </c>
    </row>
    <row r="117" spans="1:2" x14ac:dyDescent="0.3">
      <c r="A117" t="s">
        <v>220</v>
      </c>
      <c r="B117">
        <v>3217</v>
      </c>
    </row>
    <row r="118" spans="1:2" x14ac:dyDescent="0.3">
      <c r="A118" t="s">
        <v>221</v>
      </c>
      <c r="B118">
        <v>3218</v>
      </c>
    </row>
    <row r="119" spans="1:2" x14ac:dyDescent="0.3">
      <c r="A119" t="s">
        <v>68</v>
      </c>
      <c r="B119">
        <v>3219</v>
      </c>
    </row>
    <row r="120" spans="1:2" x14ac:dyDescent="0.3">
      <c r="A120" t="s">
        <v>222</v>
      </c>
      <c r="B120">
        <v>3220</v>
      </c>
    </row>
    <row r="121" spans="1:2" x14ac:dyDescent="0.3">
      <c r="A121" t="s">
        <v>223</v>
      </c>
      <c r="B121">
        <v>3221</v>
      </c>
    </row>
    <row r="122" spans="1:2" x14ac:dyDescent="0.3">
      <c r="A122" t="s">
        <v>96</v>
      </c>
      <c r="B122">
        <v>3222</v>
      </c>
    </row>
    <row r="123" spans="1:2" x14ac:dyDescent="0.3">
      <c r="A123" t="s">
        <v>224</v>
      </c>
      <c r="B123">
        <v>3223</v>
      </c>
    </row>
    <row r="124" spans="1:2" x14ac:dyDescent="0.3">
      <c r="A124" t="s">
        <v>225</v>
      </c>
      <c r="B124">
        <v>3224</v>
      </c>
    </row>
    <row r="125" spans="1:2" x14ac:dyDescent="0.3">
      <c r="A125" t="s">
        <v>226</v>
      </c>
      <c r="B125">
        <v>3225</v>
      </c>
    </row>
    <row r="126" spans="1:2" x14ac:dyDescent="0.3">
      <c r="A126" t="s">
        <v>227</v>
      </c>
      <c r="B126">
        <v>3226</v>
      </c>
    </row>
    <row r="127" spans="1:2" x14ac:dyDescent="0.3">
      <c r="A127" t="s">
        <v>228</v>
      </c>
      <c r="B127">
        <v>3227</v>
      </c>
    </row>
    <row r="128" spans="1:2" x14ac:dyDescent="0.3">
      <c r="A128" t="s">
        <v>73</v>
      </c>
      <c r="B128">
        <v>3228</v>
      </c>
    </row>
    <row r="129" spans="1:2" x14ac:dyDescent="0.3">
      <c r="A129" t="s">
        <v>229</v>
      </c>
      <c r="B129">
        <v>3229</v>
      </c>
    </row>
    <row r="130" spans="1:2" x14ac:dyDescent="0.3">
      <c r="A130" t="s">
        <v>230</v>
      </c>
      <c r="B130">
        <v>3230</v>
      </c>
    </row>
    <row r="131" spans="1:2" x14ac:dyDescent="0.3">
      <c r="A131" t="s">
        <v>231</v>
      </c>
      <c r="B131">
        <v>3231</v>
      </c>
    </row>
    <row r="132" spans="1:2" x14ac:dyDescent="0.3">
      <c r="A132" t="s">
        <v>232</v>
      </c>
      <c r="B132">
        <v>3232</v>
      </c>
    </row>
    <row r="133" spans="1:2" x14ac:dyDescent="0.3">
      <c r="A133" t="s">
        <v>233</v>
      </c>
      <c r="B133">
        <v>3233</v>
      </c>
    </row>
    <row r="134" spans="1:2" x14ac:dyDescent="0.3">
      <c r="A134" t="s">
        <v>98</v>
      </c>
      <c r="B134">
        <v>3234</v>
      </c>
    </row>
    <row r="135" spans="1:2" x14ac:dyDescent="0.3">
      <c r="A135" t="s">
        <v>234</v>
      </c>
      <c r="B135">
        <v>3235</v>
      </c>
    </row>
    <row r="136" spans="1:2" x14ac:dyDescent="0.3">
      <c r="A136" t="s">
        <v>235</v>
      </c>
      <c r="B136">
        <v>3236</v>
      </c>
    </row>
    <row r="137" spans="1:2" x14ac:dyDescent="0.3">
      <c r="A137" t="s">
        <v>236</v>
      </c>
      <c r="B137">
        <v>3237</v>
      </c>
    </row>
    <row r="138" spans="1:2" x14ac:dyDescent="0.3">
      <c r="A138" t="s">
        <v>237</v>
      </c>
      <c r="B138">
        <v>3238</v>
      </c>
    </row>
    <row r="139" spans="1:2" x14ac:dyDescent="0.3">
      <c r="A139" t="s">
        <v>238</v>
      </c>
      <c r="B139">
        <v>3239</v>
      </c>
    </row>
    <row r="140" spans="1:2" x14ac:dyDescent="0.3">
      <c r="A140" t="s">
        <v>239</v>
      </c>
      <c r="B140">
        <v>3240</v>
      </c>
    </row>
    <row r="141" spans="1:2" x14ac:dyDescent="0.3">
      <c r="A141" t="s">
        <v>240</v>
      </c>
      <c r="B141">
        <v>3241</v>
      </c>
    </row>
    <row r="142" spans="1:2" x14ac:dyDescent="0.3">
      <c r="A142" t="s">
        <v>70</v>
      </c>
      <c r="B142">
        <v>3242</v>
      </c>
    </row>
    <row r="143" spans="1:2" x14ac:dyDescent="0.3">
      <c r="A143" t="s">
        <v>241</v>
      </c>
      <c r="B143">
        <v>3243</v>
      </c>
    </row>
    <row r="144" spans="1:2" x14ac:dyDescent="0.3">
      <c r="A144" t="s">
        <v>242</v>
      </c>
      <c r="B144">
        <v>3244</v>
      </c>
    </row>
    <row r="145" spans="1:2" x14ac:dyDescent="0.3">
      <c r="A145" t="s">
        <v>243</v>
      </c>
      <c r="B145">
        <v>3245</v>
      </c>
    </row>
    <row r="146" spans="1:2" x14ac:dyDescent="0.3">
      <c r="A146" t="s">
        <v>69</v>
      </c>
      <c r="B146">
        <v>3246</v>
      </c>
    </row>
    <row r="147" spans="1:2" x14ac:dyDescent="0.3">
      <c r="A147" t="s">
        <v>244</v>
      </c>
      <c r="B147">
        <v>3247</v>
      </c>
    </row>
    <row r="148" spans="1:2" x14ac:dyDescent="0.3">
      <c r="A148" t="s">
        <v>245</v>
      </c>
      <c r="B148">
        <v>3248</v>
      </c>
    </row>
    <row r="149" spans="1:2" x14ac:dyDescent="0.3">
      <c r="A149" t="s">
        <v>246</v>
      </c>
      <c r="B149">
        <v>3249</v>
      </c>
    </row>
    <row r="150" spans="1:2" x14ac:dyDescent="0.3">
      <c r="A150" t="s">
        <v>247</v>
      </c>
      <c r="B150">
        <v>3250</v>
      </c>
    </row>
    <row r="151" spans="1:2" x14ac:dyDescent="0.3">
      <c r="A151" t="s">
        <v>88</v>
      </c>
      <c r="B151">
        <v>3251</v>
      </c>
    </row>
    <row r="152" spans="1:2" x14ac:dyDescent="0.3">
      <c r="A152" t="s">
        <v>248</v>
      </c>
      <c r="B152">
        <v>3252</v>
      </c>
    </row>
    <row r="153" spans="1:2" x14ac:dyDescent="0.3">
      <c r="A153" t="s">
        <v>249</v>
      </c>
      <c r="B153">
        <v>3253</v>
      </c>
    </row>
    <row r="154" spans="1:2" x14ac:dyDescent="0.3">
      <c r="A154" t="s">
        <v>250</v>
      </c>
      <c r="B154">
        <v>3254</v>
      </c>
    </row>
    <row r="155" spans="1:2" x14ac:dyDescent="0.3">
      <c r="A155" t="s">
        <v>251</v>
      </c>
      <c r="B155">
        <v>3255</v>
      </c>
    </row>
    <row r="156" spans="1:2" x14ac:dyDescent="0.3">
      <c r="A156" t="s">
        <v>252</v>
      </c>
      <c r="B156">
        <v>3256</v>
      </c>
    </row>
    <row r="157" spans="1:2" x14ac:dyDescent="0.3">
      <c r="A157" t="s">
        <v>103</v>
      </c>
      <c r="B157">
        <v>3257</v>
      </c>
    </row>
    <row r="158" spans="1:2" x14ac:dyDescent="0.3">
      <c r="A158" t="s">
        <v>253</v>
      </c>
      <c r="B158">
        <v>3258</v>
      </c>
    </row>
    <row r="159" spans="1:2" x14ac:dyDescent="0.3">
      <c r="A159" t="s">
        <v>254</v>
      </c>
      <c r="B159">
        <v>3259</v>
      </c>
    </row>
    <row r="160" spans="1:2" x14ac:dyDescent="0.3">
      <c r="A160" t="s">
        <v>255</v>
      </c>
      <c r="B160">
        <v>3260</v>
      </c>
    </row>
    <row r="161" spans="1:2" x14ac:dyDescent="0.3">
      <c r="A161" t="s">
        <v>256</v>
      </c>
      <c r="B161">
        <v>3261</v>
      </c>
    </row>
    <row r="162" spans="1:2" x14ac:dyDescent="0.3">
      <c r="A162" t="s">
        <v>257</v>
      </c>
      <c r="B162">
        <v>3262</v>
      </c>
    </row>
    <row r="163" spans="1:2" x14ac:dyDescent="0.3">
      <c r="A163" t="s">
        <v>258</v>
      </c>
      <c r="B163">
        <v>3263</v>
      </c>
    </row>
    <row r="164" spans="1:2" x14ac:dyDescent="0.3">
      <c r="A164" t="s">
        <v>259</v>
      </c>
      <c r="B164">
        <v>3264</v>
      </c>
    </row>
    <row r="165" spans="1:2" x14ac:dyDescent="0.3">
      <c r="A165" t="s">
        <v>260</v>
      </c>
      <c r="B165">
        <v>3265</v>
      </c>
    </row>
    <row r="166" spans="1:2" x14ac:dyDescent="0.3">
      <c r="A166" t="s">
        <v>261</v>
      </c>
      <c r="B166">
        <v>3266</v>
      </c>
    </row>
    <row r="167" spans="1:2" x14ac:dyDescent="0.3">
      <c r="A167" t="s">
        <v>262</v>
      </c>
      <c r="B167">
        <v>3267</v>
      </c>
    </row>
    <row r="168" spans="1:2" x14ac:dyDescent="0.3">
      <c r="A168" t="s">
        <v>263</v>
      </c>
      <c r="B168">
        <v>3268</v>
      </c>
    </row>
    <row r="169" spans="1:2" x14ac:dyDescent="0.3">
      <c r="A169" t="s">
        <v>264</v>
      </c>
      <c r="B169">
        <v>3269</v>
      </c>
    </row>
    <row r="170" spans="1:2" x14ac:dyDescent="0.3">
      <c r="A170" t="s">
        <v>265</v>
      </c>
      <c r="B170">
        <v>3270</v>
      </c>
    </row>
    <row r="171" spans="1:2" x14ac:dyDescent="0.3">
      <c r="A171" t="s">
        <v>266</v>
      </c>
      <c r="B171">
        <v>3271</v>
      </c>
    </row>
    <row r="172" spans="1:2" x14ac:dyDescent="0.3">
      <c r="A172" t="s">
        <v>267</v>
      </c>
      <c r="B172">
        <v>3272</v>
      </c>
    </row>
    <row r="173" spans="1:2" x14ac:dyDescent="0.3">
      <c r="A173" t="s">
        <v>268</v>
      </c>
      <c r="B173">
        <v>3273</v>
      </c>
    </row>
    <row r="174" spans="1:2" x14ac:dyDescent="0.3">
      <c r="A174" t="s">
        <v>269</v>
      </c>
      <c r="B174">
        <v>3274</v>
      </c>
    </row>
    <row r="175" spans="1:2" x14ac:dyDescent="0.3">
      <c r="A175" t="s">
        <v>270</v>
      </c>
      <c r="B175">
        <v>3275</v>
      </c>
    </row>
    <row r="176" spans="1:2" x14ac:dyDescent="0.3">
      <c r="A176" t="s">
        <v>84</v>
      </c>
      <c r="B176">
        <v>3276</v>
      </c>
    </row>
    <row r="177" spans="1:2" x14ac:dyDescent="0.3">
      <c r="A177" t="s">
        <v>271</v>
      </c>
      <c r="B177">
        <v>3277</v>
      </c>
    </row>
    <row r="178" spans="1:2" x14ac:dyDescent="0.3">
      <c r="A178" t="s">
        <v>272</v>
      </c>
      <c r="B178">
        <v>3278</v>
      </c>
    </row>
    <row r="179" spans="1:2" x14ac:dyDescent="0.3">
      <c r="A179" t="s">
        <v>273</v>
      </c>
      <c r="B179">
        <v>3279</v>
      </c>
    </row>
    <row r="180" spans="1:2" x14ac:dyDescent="0.3">
      <c r="A180" t="s">
        <v>274</v>
      </c>
      <c r="B180">
        <v>3280</v>
      </c>
    </row>
    <row r="181" spans="1:2" x14ac:dyDescent="0.3">
      <c r="A181" t="s">
        <v>65</v>
      </c>
      <c r="B181">
        <v>3281</v>
      </c>
    </row>
    <row r="182" spans="1:2" x14ac:dyDescent="0.3">
      <c r="A182" t="s">
        <v>275</v>
      </c>
      <c r="B182">
        <v>3282</v>
      </c>
    </row>
    <row r="183" spans="1:2" x14ac:dyDescent="0.3">
      <c r="A183" t="s">
        <v>276</v>
      </c>
      <c r="B183">
        <v>3283</v>
      </c>
    </row>
    <row r="184" spans="1:2" x14ac:dyDescent="0.3">
      <c r="A184" t="s">
        <v>277</v>
      </c>
      <c r="B184">
        <v>3284</v>
      </c>
    </row>
    <row r="185" spans="1:2" x14ac:dyDescent="0.3">
      <c r="A185" t="s">
        <v>278</v>
      </c>
      <c r="B185">
        <v>3285</v>
      </c>
    </row>
    <row r="186" spans="1:2" x14ac:dyDescent="0.3">
      <c r="A186" t="s">
        <v>279</v>
      </c>
      <c r="B186">
        <v>3286</v>
      </c>
    </row>
    <row r="187" spans="1:2" x14ac:dyDescent="0.3">
      <c r="A187" t="s">
        <v>280</v>
      </c>
      <c r="B187">
        <v>3287</v>
      </c>
    </row>
    <row r="188" spans="1:2" x14ac:dyDescent="0.3">
      <c r="A188" t="s">
        <v>281</v>
      </c>
      <c r="B188">
        <v>3288</v>
      </c>
    </row>
    <row r="189" spans="1:2" x14ac:dyDescent="0.3">
      <c r="A189" t="s">
        <v>282</v>
      </c>
      <c r="B189">
        <v>3289</v>
      </c>
    </row>
    <row r="190" spans="1:2" x14ac:dyDescent="0.3">
      <c r="A190" t="s">
        <v>283</v>
      </c>
      <c r="B190">
        <v>3290</v>
      </c>
    </row>
    <row r="191" spans="1:2" x14ac:dyDescent="0.3">
      <c r="A191" t="s">
        <v>284</v>
      </c>
      <c r="B191">
        <v>3291</v>
      </c>
    </row>
    <row r="192" spans="1:2" x14ac:dyDescent="0.3">
      <c r="A192" t="s">
        <v>285</v>
      </c>
      <c r="B192">
        <v>3292</v>
      </c>
    </row>
    <row r="193" spans="1:2" x14ac:dyDescent="0.3">
      <c r="A193" t="s">
        <v>286</v>
      </c>
      <c r="B193">
        <v>3293</v>
      </c>
    </row>
    <row r="194" spans="1:2" x14ac:dyDescent="0.3">
      <c r="A194" t="s">
        <v>287</v>
      </c>
      <c r="B194">
        <v>3294</v>
      </c>
    </row>
    <row r="195" spans="1:2" x14ac:dyDescent="0.3">
      <c r="A195" t="s">
        <v>288</v>
      </c>
      <c r="B195">
        <v>3295</v>
      </c>
    </row>
    <row r="196" spans="1:2" x14ac:dyDescent="0.3">
      <c r="A196" t="s">
        <v>289</v>
      </c>
      <c r="B196">
        <v>3296</v>
      </c>
    </row>
    <row r="197" spans="1:2" x14ac:dyDescent="0.3">
      <c r="A197" t="s">
        <v>290</v>
      </c>
      <c r="B197">
        <v>3297</v>
      </c>
    </row>
    <row r="198" spans="1:2" x14ac:dyDescent="0.3">
      <c r="A198" t="s">
        <v>71</v>
      </c>
      <c r="B198">
        <v>3298</v>
      </c>
    </row>
    <row r="199" spans="1:2" x14ac:dyDescent="0.3">
      <c r="A199" t="s">
        <v>291</v>
      </c>
      <c r="B199">
        <v>3299</v>
      </c>
    </row>
    <row r="200" spans="1:2" x14ac:dyDescent="0.3">
      <c r="A200" t="s">
        <v>292</v>
      </c>
      <c r="B200">
        <v>3300</v>
      </c>
    </row>
    <row r="201" spans="1:2" x14ac:dyDescent="0.3">
      <c r="A201" t="s">
        <v>86</v>
      </c>
      <c r="B201">
        <v>3301</v>
      </c>
    </row>
    <row r="202" spans="1:2" x14ac:dyDescent="0.3">
      <c r="A202" t="s">
        <v>293</v>
      </c>
      <c r="B202">
        <v>3302</v>
      </c>
    </row>
    <row r="203" spans="1:2" x14ac:dyDescent="0.3">
      <c r="A203" t="s">
        <v>294</v>
      </c>
      <c r="B203">
        <v>3303</v>
      </c>
    </row>
    <row r="204" spans="1:2" x14ac:dyDescent="0.3">
      <c r="A204" t="s">
        <v>92</v>
      </c>
      <c r="B204">
        <v>3304</v>
      </c>
    </row>
    <row r="205" spans="1:2" x14ac:dyDescent="0.3">
      <c r="A205" t="s">
        <v>295</v>
      </c>
      <c r="B205">
        <v>3305</v>
      </c>
    </row>
    <row r="206" spans="1:2" x14ac:dyDescent="0.3">
      <c r="A206" t="s">
        <v>296</v>
      </c>
      <c r="B206">
        <v>3306</v>
      </c>
    </row>
    <row r="207" spans="1:2" x14ac:dyDescent="0.3">
      <c r="A207" t="s">
        <v>297</v>
      </c>
      <c r="B207">
        <v>3307</v>
      </c>
    </row>
    <row r="208" spans="1:2" x14ac:dyDescent="0.3">
      <c r="A208" t="s">
        <v>298</v>
      </c>
      <c r="B208">
        <v>3308</v>
      </c>
    </row>
    <row r="209" spans="1:2" x14ac:dyDescent="0.3">
      <c r="A209" t="s">
        <v>299</v>
      </c>
      <c r="B209">
        <v>3309</v>
      </c>
    </row>
    <row r="210" spans="1:2" x14ac:dyDescent="0.3">
      <c r="A210" t="s">
        <v>300</v>
      </c>
      <c r="B210">
        <v>3310</v>
      </c>
    </row>
    <row r="211" spans="1:2" x14ac:dyDescent="0.3">
      <c r="A211" t="s">
        <v>301</v>
      </c>
      <c r="B211">
        <v>3311</v>
      </c>
    </row>
    <row r="212" spans="1:2" x14ac:dyDescent="0.3">
      <c r="A212" t="s">
        <v>302</v>
      </c>
      <c r="B212">
        <v>3312</v>
      </c>
    </row>
    <row r="213" spans="1:2" x14ac:dyDescent="0.3">
      <c r="A213" t="s">
        <v>303</v>
      </c>
      <c r="B213">
        <v>3313</v>
      </c>
    </row>
    <row r="214" spans="1:2" x14ac:dyDescent="0.3">
      <c r="A214" t="s">
        <v>91</v>
      </c>
      <c r="B214">
        <v>3314</v>
      </c>
    </row>
    <row r="215" spans="1:2" x14ac:dyDescent="0.3">
      <c r="A215" t="s">
        <v>304</v>
      </c>
      <c r="B215">
        <v>3315</v>
      </c>
    </row>
    <row r="216" spans="1:2" x14ac:dyDescent="0.3">
      <c r="A216" t="s">
        <v>305</v>
      </c>
      <c r="B216">
        <v>3316</v>
      </c>
    </row>
    <row r="217" spans="1:2" x14ac:dyDescent="0.3">
      <c r="A217" t="s">
        <v>306</v>
      </c>
      <c r="B217">
        <v>3317</v>
      </c>
    </row>
    <row r="218" spans="1:2" x14ac:dyDescent="0.3">
      <c r="A218" t="s">
        <v>307</v>
      </c>
      <c r="B218">
        <v>3318</v>
      </c>
    </row>
    <row r="219" spans="1:2" x14ac:dyDescent="0.3">
      <c r="A219" t="s">
        <v>308</v>
      </c>
      <c r="B219">
        <v>3319</v>
      </c>
    </row>
    <row r="220" spans="1:2" x14ac:dyDescent="0.3">
      <c r="A220" t="s">
        <v>309</v>
      </c>
      <c r="B220">
        <v>3320</v>
      </c>
    </row>
    <row r="221" spans="1:2" x14ac:dyDescent="0.3">
      <c r="A221" t="s">
        <v>310</v>
      </c>
      <c r="B221">
        <v>3321</v>
      </c>
    </row>
    <row r="222" spans="1:2" x14ac:dyDescent="0.3">
      <c r="A222" t="s">
        <v>311</v>
      </c>
      <c r="B222">
        <v>3322</v>
      </c>
    </row>
    <row r="223" spans="1:2" x14ac:dyDescent="0.3">
      <c r="A223" t="s">
        <v>312</v>
      </c>
      <c r="B223">
        <v>3323</v>
      </c>
    </row>
    <row r="224" spans="1:2" x14ac:dyDescent="0.3">
      <c r="A224" t="s">
        <v>313</v>
      </c>
      <c r="B224">
        <v>3324</v>
      </c>
    </row>
    <row r="225" spans="1:2" x14ac:dyDescent="0.3">
      <c r="A225" t="s">
        <v>314</v>
      </c>
      <c r="B225">
        <v>3325</v>
      </c>
    </row>
    <row r="226" spans="1:2" x14ac:dyDescent="0.3">
      <c r="A226" t="s">
        <v>315</v>
      </c>
      <c r="B226">
        <v>3326</v>
      </c>
    </row>
    <row r="227" spans="1:2" x14ac:dyDescent="0.3">
      <c r="A227" t="s">
        <v>316</v>
      </c>
      <c r="B227">
        <v>3327</v>
      </c>
    </row>
    <row r="228" spans="1:2" x14ac:dyDescent="0.3">
      <c r="A228" t="s">
        <v>317</v>
      </c>
      <c r="B228">
        <v>3328</v>
      </c>
    </row>
    <row r="229" spans="1:2" x14ac:dyDescent="0.3">
      <c r="A229" t="s">
        <v>318</v>
      </c>
      <c r="B229">
        <v>3329</v>
      </c>
    </row>
    <row r="230" spans="1:2" x14ac:dyDescent="0.3">
      <c r="A230" t="s">
        <v>319</v>
      </c>
      <c r="B230">
        <v>3330</v>
      </c>
    </row>
    <row r="231" spans="1:2" x14ac:dyDescent="0.3">
      <c r="A231" t="s">
        <v>320</v>
      </c>
      <c r="B231">
        <v>3331</v>
      </c>
    </row>
    <row r="232" spans="1:2" x14ac:dyDescent="0.3">
      <c r="A232" t="s">
        <v>321</v>
      </c>
      <c r="B232">
        <v>3332</v>
      </c>
    </row>
    <row r="233" spans="1:2" x14ac:dyDescent="0.3">
      <c r="A233" t="s">
        <v>322</v>
      </c>
      <c r="B233">
        <v>3333</v>
      </c>
    </row>
    <row r="234" spans="1:2" x14ac:dyDescent="0.3">
      <c r="A234" t="s">
        <v>323</v>
      </c>
      <c r="B234">
        <v>3334</v>
      </c>
    </row>
    <row r="235" spans="1:2" x14ac:dyDescent="0.3">
      <c r="A235" t="s">
        <v>324</v>
      </c>
      <c r="B235">
        <v>3335</v>
      </c>
    </row>
    <row r="236" spans="1:2" x14ac:dyDescent="0.3">
      <c r="A236" t="s">
        <v>325</v>
      </c>
      <c r="B236">
        <v>3336</v>
      </c>
    </row>
    <row r="237" spans="1:2" x14ac:dyDescent="0.3">
      <c r="A237" t="s">
        <v>326</v>
      </c>
      <c r="B237">
        <v>3337</v>
      </c>
    </row>
    <row r="238" spans="1:2" x14ac:dyDescent="0.3">
      <c r="A238" t="s">
        <v>327</v>
      </c>
      <c r="B238">
        <v>3338</v>
      </c>
    </row>
    <row r="239" spans="1:2" x14ac:dyDescent="0.3">
      <c r="A239" t="s">
        <v>328</v>
      </c>
      <c r="B239">
        <v>3339</v>
      </c>
    </row>
    <row r="240" spans="1:2" x14ac:dyDescent="0.3">
      <c r="A240" t="s">
        <v>329</v>
      </c>
      <c r="B240">
        <v>3340</v>
      </c>
    </row>
    <row r="241" spans="1:2" x14ac:dyDescent="0.3">
      <c r="A241" t="s">
        <v>330</v>
      </c>
      <c r="B241">
        <v>3341</v>
      </c>
    </row>
    <row r="242" spans="1:2" x14ac:dyDescent="0.3">
      <c r="A242" t="s">
        <v>331</v>
      </c>
      <c r="B242">
        <v>3342</v>
      </c>
    </row>
    <row r="243" spans="1:2" x14ac:dyDescent="0.3">
      <c r="A243" t="s">
        <v>332</v>
      </c>
      <c r="B243">
        <v>3343</v>
      </c>
    </row>
    <row r="244" spans="1:2" x14ac:dyDescent="0.3">
      <c r="A244" t="s">
        <v>333</v>
      </c>
      <c r="B244">
        <v>3344</v>
      </c>
    </row>
    <row r="245" spans="1:2" x14ac:dyDescent="0.3">
      <c r="A245" t="s">
        <v>79</v>
      </c>
      <c r="B245">
        <v>3345</v>
      </c>
    </row>
    <row r="246" spans="1:2" x14ac:dyDescent="0.3">
      <c r="A246" t="s">
        <v>334</v>
      </c>
      <c r="B246">
        <v>3346</v>
      </c>
    </row>
    <row r="247" spans="1:2" x14ac:dyDescent="0.3">
      <c r="A247" t="s">
        <v>335</v>
      </c>
      <c r="B247">
        <v>3347</v>
      </c>
    </row>
    <row r="248" spans="1:2" x14ac:dyDescent="0.3">
      <c r="A248" t="s">
        <v>336</v>
      </c>
      <c r="B248">
        <v>3348</v>
      </c>
    </row>
    <row r="249" spans="1:2" x14ac:dyDescent="0.3">
      <c r="A249" t="s">
        <v>337</v>
      </c>
      <c r="B249">
        <v>3349</v>
      </c>
    </row>
    <row r="250" spans="1:2" x14ac:dyDescent="0.3">
      <c r="A250" t="s">
        <v>338</v>
      </c>
      <c r="B250">
        <v>3350</v>
      </c>
    </row>
    <row r="251" spans="1:2" x14ac:dyDescent="0.3">
      <c r="A251" t="s">
        <v>339</v>
      </c>
      <c r="B251">
        <v>3351</v>
      </c>
    </row>
    <row r="252" spans="1:2" x14ac:dyDescent="0.3">
      <c r="A252" t="s">
        <v>340</v>
      </c>
      <c r="B252">
        <v>3352</v>
      </c>
    </row>
    <row r="253" spans="1:2" x14ac:dyDescent="0.3">
      <c r="A253" t="s">
        <v>341</v>
      </c>
      <c r="B253">
        <v>3353</v>
      </c>
    </row>
    <row r="254" spans="1:2" x14ac:dyDescent="0.3">
      <c r="A254" t="s">
        <v>342</v>
      </c>
      <c r="B254">
        <v>3354</v>
      </c>
    </row>
    <row r="255" spans="1:2" x14ac:dyDescent="0.3">
      <c r="A255" t="s">
        <v>343</v>
      </c>
      <c r="B255">
        <v>3355</v>
      </c>
    </row>
    <row r="256" spans="1:2" x14ac:dyDescent="0.3">
      <c r="A256" t="s">
        <v>344</v>
      </c>
      <c r="B256">
        <v>3356</v>
      </c>
    </row>
    <row r="257" spans="1:2" x14ac:dyDescent="0.3">
      <c r="A257" t="s">
        <v>345</v>
      </c>
      <c r="B257">
        <v>3357</v>
      </c>
    </row>
    <row r="258" spans="1:2" x14ac:dyDescent="0.3">
      <c r="A258" t="s">
        <v>346</v>
      </c>
      <c r="B258">
        <v>3358</v>
      </c>
    </row>
    <row r="259" spans="1:2" x14ac:dyDescent="0.3">
      <c r="A259" t="s">
        <v>347</v>
      </c>
      <c r="B259">
        <v>3359</v>
      </c>
    </row>
    <row r="260" spans="1:2" x14ac:dyDescent="0.3">
      <c r="A260" t="s">
        <v>348</v>
      </c>
      <c r="B260">
        <v>3360</v>
      </c>
    </row>
    <row r="261" spans="1:2" x14ac:dyDescent="0.3">
      <c r="A261" t="s">
        <v>349</v>
      </c>
      <c r="B261">
        <v>3361</v>
      </c>
    </row>
    <row r="262" spans="1:2" x14ac:dyDescent="0.3">
      <c r="A262" t="s">
        <v>350</v>
      </c>
      <c r="B262">
        <v>3362</v>
      </c>
    </row>
    <row r="263" spans="1:2" x14ac:dyDescent="0.3">
      <c r="A263" t="s">
        <v>351</v>
      </c>
      <c r="B263">
        <v>3363</v>
      </c>
    </row>
    <row r="264" spans="1:2" x14ac:dyDescent="0.3">
      <c r="A264" t="s">
        <v>352</v>
      </c>
      <c r="B264">
        <v>3364</v>
      </c>
    </row>
    <row r="265" spans="1:2" x14ac:dyDescent="0.3">
      <c r="A265" t="s">
        <v>353</v>
      </c>
      <c r="B265">
        <v>3365</v>
      </c>
    </row>
    <row r="266" spans="1:2" x14ac:dyDescent="0.3">
      <c r="A266" t="s">
        <v>354</v>
      </c>
      <c r="B266">
        <v>3366</v>
      </c>
    </row>
    <row r="267" spans="1:2" x14ac:dyDescent="0.3">
      <c r="A267" t="s">
        <v>355</v>
      </c>
      <c r="B267">
        <v>3367</v>
      </c>
    </row>
    <row r="268" spans="1:2" x14ac:dyDescent="0.3">
      <c r="A268" t="s">
        <v>356</v>
      </c>
      <c r="B268">
        <v>3368</v>
      </c>
    </row>
    <row r="269" spans="1:2" x14ac:dyDescent="0.3">
      <c r="A269" t="s">
        <v>357</v>
      </c>
      <c r="B269">
        <v>3369</v>
      </c>
    </row>
    <row r="270" spans="1:2" x14ac:dyDescent="0.3">
      <c r="A270" t="s">
        <v>358</v>
      </c>
      <c r="B270">
        <v>3370</v>
      </c>
    </row>
    <row r="271" spans="1:2" x14ac:dyDescent="0.3">
      <c r="A271" t="s">
        <v>359</v>
      </c>
      <c r="B271">
        <v>3371</v>
      </c>
    </row>
    <row r="272" spans="1:2" x14ac:dyDescent="0.3">
      <c r="A272" t="s">
        <v>360</v>
      </c>
      <c r="B272">
        <v>3372</v>
      </c>
    </row>
    <row r="273" spans="1:2" x14ac:dyDescent="0.3">
      <c r="A273" t="s">
        <v>361</v>
      </c>
      <c r="B273">
        <v>3373</v>
      </c>
    </row>
    <row r="274" spans="1:2" x14ac:dyDescent="0.3">
      <c r="A274" t="s">
        <v>72</v>
      </c>
      <c r="B274">
        <v>3374</v>
      </c>
    </row>
    <row r="275" spans="1:2" x14ac:dyDescent="0.3">
      <c r="A275" t="s">
        <v>362</v>
      </c>
      <c r="B275">
        <v>3375</v>
      </c>
    </row>
    <row r="276" spans="1:2" x14ac:dyDescent="0.3">
      <c r="A276" t="s">
        <v>363</v>
      </c>
      <c r="B276">
        <v>3376</v>
      </c>
    </row>
    <row r="277" spans="1:2" x14ac:dyDescent="0.3">
      <c r="A277" t="s">
        <v>364</v>
      </c>
      <c r="B277">
        <v>3377</v>
      </c>
    </row>
    <row r="278" spans="1:2" x14ac:dyDescent="0.3">
      <c r="A278" t="s">
        <v>365</v>
      </c>
      <c r="B278">
        <v>3378</v>
      </c>
    </row>
    <row r="279" spans="1:2" x14ac:dyDescent="0.3">
      <c r="A279" t="s">
        <v>366</v>
      </c>
      <c r="B279">
        <v>3379</v>
      </c>
    </row>
    <row r="280" spans="1:2" x14ac:dyDescent="0.3">
      <c r="A280" t="s">
        <v>367</v>
      </c>
      <c r="B280">
        <v>3380</v>
      </c>
    </row>
    <row r="281" spans="1:2" x14ac:dyDescent="0.3">
      <c r="A281" t="s">
        <v>368</v>
      </c>
      <c r="B281">
        <v>3381</v>
      </c>
    </row>
    <row r="282" spans="1:2" x14ac:dyDescent="0.3">
      <c r="A282" t="s">
        <v>369</v>
      </c>
      <c r="B282">
        <v>3382</v>
      </c>
    </row>
    <row r="283" spans="1:2" x14ac:dyDescent="0.3">
      <c r="A283" t="s">
        <v>370</v>
      </c>
      <c r="B283">
        <v>3383</v>
      </c>
    </row>
    <row r="284" spans="1:2" x14ac:dyDescent="0.3">
      <c r="A284" t="s">
        <v>371</v>
      </c>
      <c r="B284">
        <v>3384</v>
      </c>
    </row>
    <row r="285" spans="1:2" x14ac:dyDescent="0.3">
      <c r="A285" t="s">
        <v>372</v>
      </c>
      <c r="B285">
        <v>3385</v>
      </c>
    </row>
    <row r="286" spans="1:2" x14ac:dyDescent="0.3">
      <c r="A286" t="s">
        <v>373</v>
      </c>
      <c r="B286">
        <v>3386</v>
      </c>
    </row>
    <row r="287" spans="1:2" x14ac:dyDescent="0.3">
      <c r="A287" t="s">
        <v>374</v>
      </c>
      <c r="B287">
        <v>3387</v>
      </c>
    </row>
    <row r="288" spans="1:2" x14ac:dyDescent="0.3">
      <c r="A288" t="s">
        <v>375</v>
      </c>
      <c r="B288">
        <v>3388</v>
      </c>
    </row>
    <row r="289" spans="1:2" x14ac:dyDescent="0.3">
      <c r="A289" t="s">
        <v>376</v>
      </c>
      <c r="B289">
        <v>3389</v>
      </c>
    </row>
    <row r="290" spans="1:2" x14ac:dyDescent="0.3">
      <c r="A290" t="s">
        <v>377</v>
      </c>
      <c r="B290">
        <v>3390</v>
      </c>
    </row>
    <row r="291" spans="1:2" x14ac:dyDescent="0.3">
      <c r="A291" t="s">
        <v>378</v>
      </c>
      <c r="B291">
        <v>3391</v>
      </c>
    </row>
    <row r="292" spans="1:2" x14ac:dyDescent="0.3">
      <c r="A292" t="s">
        <v>379</v>
      </c>
      <c r="B292">
        <v>3392</v>
      </c>
    </row>
    <row r="293" spans="1:2" x14ac:dyDescent="0.3">
      <c r="A293" t="s">
        <v>380</v>
      </c>
      <c r="B293">
        <v>3393</v>
      </c>
    </row>
    <row r="294" spans="1:2" x14ac:dyDescent="0.3">
      <c r="A294" t="s">
        <v>381</v>
      </c>
      <c r="B294">
        <v>3394</v>
      </c>
    </row>
    <row r="295" spans="1:2" x14ac:dyDescent="0.3">
      <c r="A295" t="s">
        <v>105</v>
      </c>
      <c r="B295">
        <v>3395</v>
      </c>
    </row>
    <row r="296" spans="1:2" x14ac:dyDescent="0.3">
      <c r="A296" t="s">
        <v>382</v>
      </c>
      <c r="B296">
        <v>3396</v>
      </c>
    </row>
    <row r="297" spans="1:2" x14ac:dyDescent="0.3">
      <c r="A297" t="s">
        <v>99</v>
      </c>
      <c r="B297">
        <v>3397</v>
      </c>
    </row>
    <row r="298" spans="1:2" x14ac:dyDescent="0.3">
      <c r="A298" t="s">
        <v>383</v>
      </c>
      <c r="B298">
        <v>3398</v>
      </c>
    </row>
    <row r="299" spans="1:2" x14ac:dyDescent="0.3">
      <c r="A299" t="s">
        <v>384</v>
      </c>
      <c r="B299">
        <v>3399</v>
      </c>
    </row>
    <row r="300" spans="1:2" x14ac:dyDescent="0.3">
      <c r="A300" t="s">
        <v>95</v>
      </c>
      <c r="B300">
        <v>3400</v>
      </c>
    </row>
    <row r="301" spans="1:2" x14ac:dyDescent="0.3">
      <c r="A301" t="s">
        <v>78</v>
      </c>
      <c r="B301">
        <v>3401</v>
      </c>
    </row>
    <row r="302" spans="1:2" x14ac:dyDescent="0.3">
      <c r="A302" t="s">
        <v>385</v>
      </c>
      <c r="B302">
        <v>3402</v>
      </c>
    </row>
    <row r="303" spans="1:2" x14ac:dyDescent="0.3">
      <c r="A303" t="s">
        <v>76</v>
      </c>
      <c r="B303">
        <v>3403</v>
      </c>
    </row>
    <row r="304" spans="1:2" x14ac:dyDescent="0.3">
      <c r="A304" t="s">
        <v>386</v>
      </c>
      <c r="B304">
        <v>3404</v>
      </c>
    </row>
    <row r="305" spans="1:2" x14ac:dyDescent="0.3">
      <c r="A305" t="s">
        <v>387</v>
      </c>
      <c r="B305">
        <v>3405</v>
      </c>
    </row>
    <row r="306" spans="1:2" x14ac:dyDescent="0.3">
      <c r="A306" t="s">
        <v>388</v>
      </c>
      <c r="B306">
        <v>3406</v>
      </c>
    </row>
    <row r="307" spans="1:2" x14ac:dyDescent="0.3">
      <c r="A307" t="s">
        <v>80</v>
      </c>
      <c r="B307">
        <v>3407</v>
      </c>
    </row>
    <row r="308" spans="1:2" x14ac:dyDescent="0.3">
      <c r="A308" t="s">
        <v>389</v>
      </c>
      <c r="B308">
        <v>3408</v>
      </c>
    </row>
    <row r="309" spans="1:2" x14ac:dyDescent="0.3">
      <c r="A309" t="s">
        <v>390</v>
      </c>
      <c r="B309">
        <v>3409</v>
      </c>
    </row>
    <row r="310" spans="1:2" x14ac:dyDescent="0.3">
      <c r="A310" t="s">
        <v>391</v>
      </c>
      <c r="B310">
        <v>3410</v>
      </c>
    </row>
    <row r="311" spans="1:2" x14ac:dyDescent="0.3">
      <c r="A311" t="s">
        <v>392</v>
      </c>
      <c r="B311">
        <v>3411</v>
      </c>
    </row>
    <row r="312" spans="1:2" x14ac:dyDescent="0.3">
      <c r="A312" t="s">
        <v>393</v>
      </c>
      <c r="B312">
        <v>3412</v>
      </c>
    </row>
    <row r="313" spans="1:2" x14ac:dyDescent="0.3">
      <c r="A313" t="s">
        <v>394</v>
      </c>
      <c r="B313">
        <v>3413</v>
      </c>
    </row>
    <row r="314" spans="1:2" x14ac:dyDescent="0.3">
      <c r="A314" t="s">
        <v>93</v>
      </c>
      <c r="B314">
        <v>3414</v>
      </c>
    </row>
    <row r="315" spans="1:2" x14ac:dyDescent="0.3">
      <c r="A315" t="s">
        <v>395</v>
      </c>
      <c r="B315">
        <v>3415</v>
      </c>
    </row>
    <row r="316" spans="1:2" x14ac:dyDescent="0.3">
      <c r="A316" t="s">
        <v>85</v>
      </c>
      <c r="B316">
        <v>3416</v>
      </c>
    </row>
    <row r="317" spans="1:2" x14ac:dyDescent="0.3">
      <c r="A317" t="s">
        <v>81</v>
      </c>
      <c r="B317">
        <v>3417</v>
      </c>
    </row>
    <row r="318" spans="1:2" x14ac:dyDescent="0.3">
      <c r="A318" t="s">
        <v>396</v>
      </c>
      <c r="B318">
        <v>3418</v>
      </c>
    </row>
    <row r="319" spans="1:2" x14ac:dyDescent="0.3">
      <c r="A319" t="s">
        <v>397</v>
      </c>
      <c r="B319">
        <v>3419</v>
      </c>
    </row>
    <row r="320" spans="1:2" x14ac:dyDescent="0.3">
      <c r="A320" t="s">
        <v>398</v>
      </c>
      <c r="B320">
        <v>3420</v>
      </c>
    </row>
    <row r="321" spans="1:2" x14ac:dyDescent="0.3">
      <c r="A321" t="s">
        <v>399</v>
      </c>
      <c r="B321">
        <v>3421</v>
      </c>
    </row>
    <row r="322" spans="1:2" x14ac:dyDescent="0.3">
      <c r="A322" t="s">
        <v>400</v>
      </c>
      <c r="B322">
        <v>3422</v>
      </c>
    </row>
    <row r="323" spans="1:2" x14ac:dyDescent="0.3">
      <c r="A323" t="s">
        <v>102</v>
      </c>
      <c r="B323">
        <v>3423</v>
      </c>
    </row>
    <row r="324" spans="1:2" x14ac:dyDescent="0.3">
      <c r="A324" t="s">
        <v>401</v>
      </c>
      <c r="B324">
        <v>3424</v>
      </c>
    </row>
    <row r="325" spans="1:2" x14ac:dyDescent="0.3">
      <c r="A325" t="s">
        <v>402</v>
      </c>
      <c r="B325">
        <v>3425</v>
      </c>
    </row>
    <row r="326" spans="1:2" x14ac:dyDescent="0.3">
      <c r="A326" t="s">
        <v>403</v>
      </c>
      <c r="B326">
        <v>3426</v>
      </c>
    </row>
    <row r="327" spans="1:2" x14ac:dyDescent="0.3">
      <c r="A327" t="s">
        <v>404</v>
      </c>
      <c r="B327">
        <v>3427</v>
      </c>
    </row>
    <row r="328" spans="1:2" x14ac:dyDescent="0.3">
      <c r="A328" t="s">
        <v>405</v>
      </c>
      <c r="B328">
        <v>3428</v>
      </c>
    </row>
    <row r="329" spans="1:2" x14ac:dyDescent="0.3">
      <c r="A329" t="s">
        <v>406</v>
      </c>
      <c r="B329">
        <v>3429</v>
      </c>
    </row>
    <row r="330" spans="1:2" x14ac:dyDescent="0.3">
      <c r="A330" t="s">
        <v>407</v>
      </c>
      <c r="B330">
        <v>3430</v>
      </c>
    </row>
    <row r="331" spans="1:2" x14ac:dyDescent="0.3">
      <c r="A331" t="s">
        <v>408</v>
      </c>
      <c r="B331">
        <v>3431</v>
      </c>
    </row>
    <row r="332" spans="1:2" x14ac:dyDescent="0.3">
      <c r="A332" t="s">
        <v>409</v>
      </c>
      <c r="B332">
        <v>3432</v>
      </c>
    </row>
    <row r="333" spans="1:2" x14ac:dyDescent="0.3">
      <c r="A333" t="s">
        <v>410</v>
      </c>
      <c r="B333">
        <v>3433</v>
      </c>
    </row>
    <row r="334" spans="1:2" x14ac:dyDescent="0.3">
      <c r="A334" t="s">
        <v>411</v>
      </c>
      <c r="B334">
        <v>3434</v>
      </c>
    </row>
    <row r="335" spans="1:2" x14ac:dyDescent="0.3">
      <c r="A335" t="s">
        <v>87</v>
      </c>
      <c r="B335">
        <v>3435</v>
      </c>
    </row>
    <row r="336" spans="1:2" x14ac:dyDescent="0.3">
      <c r="A336" t="s">
        <v>412</v>
      </c>
      <c r="B336">
        <v>3436</v>
      </c>
    </row>
    <row r="337" spans="1:2" x14ac:dyDescent="0.3">
      <c r="A337" t="s">
        <v>104</v>
      </c>
      <c r="B337">
        <v>3437</v>
      </c>
    </row>
    <row r="338" spans="1:2" x14ac:dyDescent="0.3">
      <c r="A338" t="s">
        <v>89</v>
      </c>
      <c r="B338">
        <v>3438</v>
      </c>
    </row>
    <row r="339" spans="1:2" x14ac:dyDescent="0.3">
      <c r="A339" t="s">
        <v>413</v>
      </c>
      <c r="B339">
        <v>3439</v>
      </c>
    </row>
    <row r="340" spans="1:2" x14ac:dyDescent="0.3">
      <c r="A340" t="s">
        <v>415</v>
      </c>
      <c r="B340">
        <v>3441</v>
      </c>
    </row>
    <row r="341" spans="1:2" x14ac:dyDescent="0.3">
      <c r="A341" t="s">
        <v>416</v>
      </c>
      <c r="B341">
        <v>3442</v>
      </c>
    </row>
    <row r="342" spans="1:2" x14ac:dyDescent="0.3">
      <c r="A342" t="s">
        <v>417</v>
      </c>
      <c r="B342">
        <v>3443</v>
      </c>
    </row>
    <row r="343" spans="1:2" x14ac:dyDescent="0.3">
      <c r="A343" t="s">
        <v>418</v>
      </c>
      <c r="B343">
        <v>3444</v>
      </c>
    </row>
    <row r="344" spans="1:2" x14ac:dyDescent="0.3">
      <c r="A344" t="s">
        <v>419</v>
      </c>
      <c r="B344">
        <v>3445</v>
      </c>
    </row>
    <row r="345" spans="1:2" x14ac:dyDescent="0.3">
      <c r="A345" t="s">
        <v>420</v>
      </c>
      <c r="B345">
        <v>3446</v>
      </c>
    </row>
    <row r="346" spans="1:2" x14ac:dyDescent="0.3">
      <c r="A346" t="s">
        <v>421</v>
      </c>
      <c r="B346">
        <v>3447</v>
      </c>
    </row>
    <row r="347" spans="1:2" x14ac:dyDescent="0.3">
      <c r="A347" t="s">
        <v>422</v>
      </c>
      <c r="B347">
        <v>3448</v>
      </c>
    </row>
    <row r="348" spans="1:2" x14ac:dyDescent="0.3">
      <c r="A348" t="s">
        <v>423</v>
      </c>
      <c r="B348">
        <v>3449</v>
      </c>
    </row>
    <row r="349" spans="1:2" x14ac:dyDescent="0.3">
      <c r="A349" t="s">
        <v>424</v>
      </c>
      <c r="B349">
        <v>3450</v>
      </c>
    </row>
    <row r="350" spans="1:2" x14ac:dyDescent="0.3">
      <c r="A350" t="s">
        <v>425</v>
      </c>
      <c r="B350">
        <v>3451</v>
      </c>
    </row>
    <row r="351" spans="1:2" x14ac:dyDescent="0.3">
      <c r="A351" t="s">
        <v>426</v>
      </c>
      <c r="B351">
        <v>3452</v>
      </c>
    </row>
    <row r="352" spans="1:2" x14ac:dyDescent="0.3">
      <c r="A352" t="s">
        <v>427</v>
      </c>
      <c r="B352">
        <v>3453</v>
      </c>
    </row>
    <row r="353" spans="1:2" x14ac:dyDescent="0.3">
      <c r="A353" t="s">
        <v>428</v>
      </c>
      <c r="B353">
        <v>3454</v>
      </c>
    </row>
    <row r="354" spans="1:2" x14ac:dyDescent="0.3">
      <c r="A354" t="s">
        <v>429</v>
      </c>
      <c r="B354">
        <v>3455</v>
      </c>
    </row>
    <row r="355" spans="1:2" x14ac:dyDescent="0.3">
      <c r="A355" t="s">
        <v>430</v>
      </c>
      <c r="B355">
        <v>3456</v>
      </c>
    </row>
    <row r="356" spans="1:2" x14ac:dyDescent="0.3">
      <c r="A356" t="s">
        <v>431</v>
      </c>
      <c r="B356">
        <v>3457</v>
      </c>
    </row>
    <row r="357" spans="1:2" x14ac:dyDescent="0.3">
      <c r="A357" t="s">
        <v>94</v>
      </c>
      <c r="B357">
        <v>3458</v>
      </c>
    </row>
    <row r="358" spans="1:2" x14ac:dyDescent="0.3">
      <c r="A358" t="s">
        <v>432</v>
      </c>
      <c r="B358">
        <v>3459</v>
      </c>
    </row>
    <row r="359" spans="1:2" x14ac:dyDescent="0.3">
      <c r="A359" t="s">
        <v>433</v>
      </c>
      <c r="B359">
        <v>3460</v>
      </c>
    </row>
    <row r="360" spans="1:2" x14ac:dyDescent="0.3">
      <c r="A360" t="s">
        <v>434</v>
      </c>
      <c r="B360">
        <v>3461</v>
      </c>
    </row>
    <row r="361" spans="1:2" x14ac:dyDescent="0.3">
      <c r="A361" t="s">
        <v>435</v>
      </c>
      <c r="B361">
        <v>3462</v>
      </c>
    </row>
    <row r="362" spans="1:2" x14ac:dyDescent="0.3">
      <c r="A362" t="s">
        <v>100</v>
      </c>
      <c r="B362">
        <v>3463</v>
      </c>
    </row>
    <row r="363" spans="1:2" x14ac:dyDescent="0.3">
      <c r="A363" t="s">
        <v>436</v>
      </c>
      <c r="B363">
        <v>3464</v>
      </c>
    </row>
    <row r="364" spans="1:2" x14ac:dyDescent="0.3">
      <c r="A364" t="s">
        <v>90</v>
      </c>
      <c r="B364">
        <v>3465</v>
      </c>
    </row>
    <row r="365" spans="1:2" x14ac:dyDescent="0.3">
      <c r="A365" t="s">
        <v>437</v>
      </c>
      <c r="B365">
        <v>3466</v>
      </c>
    </row>
    <row r="366" spans="1:2" x14ac:dyDescent="0.3">
      <c r="A366" t="s">
        <v>83</v>
      </c>
      <c r="B366">
        <v>3467</v>
      </c>
    </row>
    <row r="367" spans="1:2" x14ac:dyDescent="0.3">
      <c r="A367" t="s">
        <v>438</v>
      </c>
      <c r="B367">
        <v>3468</v>
      </c>
    </row>
    <row r="368" spans="1:2" x14ac:dyDescent="0.3">
      <c r="A368" t="s">
        <v>439</v>
      </c>
      <c r="B368">
        <v>3469</v>
      </c>
    </row>
    <row r="369" spans="1:2" x14ac:dyDescent="0.3">
      <c r="A369" t="s">
        <v>440</v>
      </c>
      <c r="B369">
        <v>3470</v>
      </c>
    </row>
    <row r="370" spans="1:2" x14ac:dyDescent="0.3">
      <c r="A370" t="s">
        <v>441</v>
      </c>
      <c r="B370">
        <v>3471</v>
      </c>
    </row>
    <row r="371" spans="1:2" x14ac:dyDescent="0.3">
      <c r="A371" t="s">
        <v>442</v>
      </c>
      <c r="B371">
        <v>3472</v>
      </c>
    </row>
    <row r="372" spans="1:2" x14ac:dyDescent="0.3">
      <c r="A372" t="s">
        <v>443</v>
      </c>
      <c r="B372">
        <v>3473</v>
      </c>
    </row>
    <row r="373" spans="1:2" x14ac:dyDescent="0.3">
      <c r="A373" t="s">
        <v>444</v>
      </c>
      <c r="B373">
        <v>3474</v>
      </c>
    </row>
    <row r="374" spans="1:2" x14ac:dyDescent="0.3">
      <c r="A374" t="s">
        <v>445</v>
      </c>
      <c r="B374">
        <v>3475</v>
      </c>
    </row>
    <row r="375" spans="1:2" x14ac:dyDescent="0.3">
      <c r="A375" t="s">
        <v>446</v>
      </c>
      <c r="B375">
        <v>3476</v>
      </c>
    </row>
    <row r="376" spans="1:2" x14ac:dyDescent="0.3">
      <c r="A376" t="s">
        <v>447</v>
      </c>
      <c r="B376">
        <v>3477</v>
      </c>
    </row>
    <row r="377" spans="1:2" x14ac:dyDescent="0.3">
      <c r="A377" t="s">
        <v>448</v>
      </c>
      <c r="B377">
        <v>3478</v>
      </c>
    </row>
    <row r="378" spans="1:2" x14ac:dyDescent="0.3">
      <c r="A378" t="s">
        <v>449</v>
      </c>
      <c r="B378">
        <v>3479</v>
      </c>
    </row>
    <row r="379" spans="1:2" x14ac:dyDescent="0.3">
      <c r="A379" t="s">
        <v>450</v>
      </c>
      <c r="B379">
        <v>3480</v>
      </c>
    </row>
    <row r="380" spans="1:2" x14ac:dyDescent="0.3">
      <c r="A380" t="s">
        <v>451</v>
      </c>
      <c r="B380">
        <v>3481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366F7-D712-4587-975D-0383B66BA818}">
  <dimension ref="A1:C65"/>
  <sheetViews>
    <sheetView workbookViewId="0">
      <selection activeCell="C4" sqref="C4"/>
    </sheetView>
  </sheetViews>
  <sheetFormatPr defaultRowHeight="14.4" x14ac:dyDescent="0.3"/>
  <cols>
    <col min="1" max="1" width="10.21875" customWidth="1"/>
    <col min="3" max="3" width="11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2026</v>
      </c>
      <c r="B2" t="s">
        <v>3</v>
      </c>
      <c r="C2" cm="1">
        <f t="array" ref="C2">_xlfn.XLOOKUP(
    _xlfn.SWITCH(LEFT(B2,1), "W", "Region 1", "X", "Region 2", "Y", "Region 3", "Z", "Region 4") &amp; "|" &amp; IF(MID(B2,2,1)="0", MID(B2,3,2), MID(B2,2,3)),
    'Womens Seeding'!$D$2:$D$100 &amp; "|" &amp; 'Womens Seeding'!$B$2:$B$100,
    'Womens Seeding'!$E$2:$E$100,
    "Not Found"
)</f>
        <v>3163</v>
      </c>
    </row>
    <row r="3" spans="1:3" x14ac:dyDescent="0.3">
      <c r="A3">
        <v>2026</v>
      </c>
      <c r="B3" t="s">
        <v>4</v>
      </c>
      <c r="C3" cm="1">
        <f t="array" ref="C3">_xlfn.XLOOKUP(
    _xlfn.SWITCH(LEFT(B3,1), "W", "Region 1", "X", "Region 2", "Y", "Region 3", "Z", "Region 4") &amp; "|" &amp; IF(MID(B3,2,1)="0", MID(B3,3,2), MID(B3,2,3)),
    'Womens Seeding'!$D$2:$D$100 &amp; "|" &amp; 'Womens Seeding'!$B$2:$B$100,
    'Womens Seeding'!$E$2:$E$100,
    "Not Found"
)</f>
        <v>3435</v>
      </c>
    </row>
    <row r="4" spans="1:3" x14ac:dyDescent="0.3">
      <c r="A4">
        <v>2026</v>
      </c>
      <c r="B4" t="s">
        <v>5</v>
      </c>
      <c r="C4" cm="1">
        <f t="array" ref="C4">_xlfn.XLOOKUP(
    _xlfn.SWITCH(LEFT(B4,1), "W", "Region 1", "X", "Region 2", "Y", "Region 3", "Z", "Region 4") &amp; "|" &amp; IF(MID(B4,2,1)="0", MID(B4,3,2), MID(B4,2,3)),
    'Womens Seeding'!$D$2:$D$100 &amp; "|" &amp; 'Womens Seeding'!$B$2:$B$100,
    'Womens Seeding'!$E$2:$E$100,
    "Not Found"
)</f>
        <v>3276</v>
      </c>
    </row>
    <row r="5" spans="1:3" x14ac:dyDescent="0.3">
      <c r="A5">
        <v>2026</v>
      </c>
      <c r="B5" t="s">
        <v>6</v>
      </c>
      <c r="C5" cm="1">
        <f t="array" ref="C5">_xlfn.XLOOKUP(
    _xlfn.SWITCH(LEFT(B5,1), "W", "Region 1", "X", "Region 2", "Y", "Region 3", "Z", "Region 4") &amp; "|" &amp; IF(MID(B5,2,1)="0", MID(B5,3,2), MID(B5,2,3)),
    'Womens Seeding'!$D$2:$D$100 &amp; "|" &amp; 'Womens Seeding'!$B$2:$B$100,
    'Womens Seeding'!$E$2:$E$100,
    "Not Found"
)</f>
        <v>3268</v>
      </c>
    </row>
    <row r="6" spans="1:3" x14ac:dyDescent="0.3">
      <c r="A6">
        <v>2026</v>
      </c>
      <c r="B6" t="s">
        <v>7</v>
      </c>
      <c r="C6" cm="1">
        <f t="array" ref="C6">_xlfn.XLOOKUP(
    _xlfn.SWITCH(LEFT(B6,1), "W", "Region 1", "X", "Region 2", "Y", "Region 3", "Z", "Region 4") &amp; "|" &amp; IF(MID(B6,2,1)="0", MID(B6,3,2), MID(B6,2,3)),
    'Womens Seeding'!$D$2:$D$100 &amp; "|" &amp; 'Womens Seeding'!$B$2:$B$100,
    'Womens Seeding'!$E$2:$E$100,
    "Not Found"
)</f>
        <v>3279</v>
      </c>
    </row>
    <row r="7" spans="1:3" x14ac:dyDescent="0.3">
      <c r="A7">
        <v>2026</v>
      </c>
      <c r="B7" t="s">
        <v>8</v>
      </c>
      <c r="C7" cm="1">
        <f t="array" ref="C7">_xlfn.XLOOKUP(
    _xlfn.SWITCH(LEFT(B7,1), "W", "Region 1", "X", "Region 2", "Y", "Region 3", "Z", "Region 4") &amp; "|" &amp; IF(MID(B7,2,1)="0", MID(B7,3,2), MID(B7,2,3)),
    'Womens Seeding'!$D$2:$D$100 &amp; "|" &amp; 'Womens Seeding'!$B$2:$B$100,
    'Womens Seeding'!$E$2:$E$100,
    "Not Found"
)</f>
        <v>3403</v>
      </c>
    </row>
    <row r="8" spans="1:3" x14ac:dyDescent="0.3">
      <c r="A8">
        <v>2026</v>
      </c>
      <c r="B8" t="s">
        <v>9</v>
      </c>
      <c r="C8" cm="1">
        <f t="array" ref="C8">_xlfn.XLOOKUP(
    _xlfn.SWITCH(LEFT(B8,1), "W", "Region 1", "X", "Region 2", "Y", "Region 3", "Z", "Region 4") &amp; "|" &amp; IF(MID(B8,2,1)="0", MID(B8,3,2), MID(B8,2,3)),
    'Womens Seeding'!$D$2:$D$100 &amp; "|" &amp; 'Womens Seeding'!$B$2:$B$100,
    'Womens Seeding'!$E$2:$E$100,
    "Not Found"
)</f>
        <v>3228</v>
      </c>
    </row>
    <row r="9" spans="1:3" x14ac:dyDescent="0.3">
      <c r="A9">
        <v>2026</v>
      </c>
      <c r="B9" t="s">
        <v>10</v>
      </c>
      <c r="C9" cm="1">
        <f t="array" ref="C9">_xlfn.XLOOKUP(
    _xlfn.SWITCH(LEFT(B9,1), "W", "Region 1", "X", "Region 2", "Y", "Region 3", "Z", "Region 4") &amp; "|" &amp; IF(MID(B9,2,1)="0", MID(B9,3,2), MID(B9,2,3)),
    'Womens Seeding'!$D$2:$D$100 &amp; "|" &amp; 'Womens Seeding'!$B$2:$B$100,
    'Womens Seeding'!$E$2:$E$100,
    "Not Found"
)</f>
        <v>3301</v>
      </c>
    </row>
    <row r="10" spans="1:3" x14ac:dyDescent="0.3">
      <c r="A10">
        <v>2026</v>
      </c>
      <c r="B10" t="s">
        <v>11</v>
      </c>
      <c r="C10" cm="1">
        <f t="array" ref="C10">_xlfn.XLOOKUP(
    _xlfn.SWITCH(LEFT(B10,1), "W", "Region 1", "X", "Region 2", "Y", "Region 3", "Z", "Region 4") &amp; "|" &amp; IF(MID(B10,2,1)="0", MID(B10,3,2), MID(B10,2,3)),
    'Womens Seeding'!$D$2:$D$100 &amp; "|" &amp; 'Womens Seeding'!$B$2:$B$100,
    'Womens Seeding'!$E$2:$E$100,
    "Not Found"
)</f>
        <v>3235</v>
      </c>
    </row>
    <row r="11" spans="1:3" x14ac:dyDescent="0.3">
      <c r="A11">
        <v>2026</v>
      </c>
      <c r="B11" t="s">
        <v>12</v>
      </c>
      <c r="C11" cm="1">
        <f t="array" ref="C11">_xlfn.XLOOKUP(
    _xlfn.SWITCH(LEFT(B11,1), "W", "Region 1", "X", "Region 2", "Y", "Region 3", "Z", "Region 4") &amp; "|" &amp; IF(MID(B11,2,1)="0", MID(B11,3,2), MID(B11,2,3)),
    'Womens Seeding'!$D$2:$D$100 &amp; "|" &amp; 'Womens Seeding'!$B$2:$B$100,
    'Womens Seeding'!$E$2:$E$100,
    "Not Found"
)</f>
        <v>3155</v>
      </c>
    </row>
    <row r="12" spans="1:3" x14ac:dyDescent="0.3">
      <c r="A12">
        <v>2026</v>
      </c>
      <c r="B12" t="s">
        <v>13</v>
      </c>
      <c r="C12" cm="1">
        <f t="array" ref="C12">_xlfn.XLOOKUP(
    _xlfn.SWITCH(LEFT(B12,1), "W", "Region 1", "X", "Region 2", "Y", "Region 3", "Z", "Region 4") &amp; "|" &amp; IF(MID(B12,2,1)="0", MID(B12,3,2), MID(B12,2,3)),
    'Womens Seeding'!$D$2:$D$100 &amp; "|" &amp; 'Womens Seeding'!$B$2:$B$100,
    'Womens Seeding'!$E$2:$E$100,
    "Not Found"
)</f>
        <v>3193</v>
      </c>
    </row>
    <row r="13" spans="1:3" x14ac:dyDescent="0.3">
      <c r="A13">
        <v>2026</v>
      </c>
      <c r="B13" t="s">
        <v>14</v>
      </c>
      <c r="C13" cm="1">
        <f t="array" ref="C13">_xlfn.XLOOKUP(
    _xlfn.SWITCH(LEFT(B13,1), "W", "Region 1", "X", "Region 2", "Y", "Region 3", "Z", "Region 4") &amp; "|" &amp; IF(MID(B13,2,1)="0", MID(B13,3,2), MID(B13,2,3)),
    'Womens Seeding'!$D$2:$D$100 &amp; "|" &amp; 'Womens Seeding'!$B$2:$B$100,
    'Womens Seeding'!$E$2:$E$100,
    "Not Found"
)</f>
        <v>3438</v>
      </c>
    </row>
    <row r="14" spans="1:3" x14ac:dyDescent="0.3">
      <c r="A14">
        <v>2026</v>
      </c>
      <c r="B14" t="s">
        <v>15</v>
      </c>
      <c r="C14" cm="1">
        <f t="array" ref="C14">_xlfn.XLOOKUP(
    _xlfn.SWITCH(LEFT(B14,1), "W", "Region 1", "X", "Region 2", "Y", "Region 3", "Z", "Region 4") &amp; "|" &amp; IF(MID(B14,2,1)="0", MID(B14,3,2), MID(B14,2,3)),
    'Womens Seeding'!$D$2:$D$100 &amp; "|" &amp; 'Womens Seeding'!$B$2:$B$100,
    'Womens Seeding'!$E$2:$E$100,
    "Not Found"
)</f>
        <v>3256</v>
      </c>
    </row>
    <row r="15" spans="1:3" x14ac:dyDescent="0.3">
      <c r="A15">
        <v>2026</v>
      </c>
      <c r="B15" t="s">
        <v>16</v>
      </c>
      <c r="C15" cm="1">
        <f t="array" ref="C15">_xlfn.XLOOKUP(
    _xlfn.SWITCH(LEFT(B15,1), "W", "Region 1", "X", "Region 2", "Y", "Region 3", "Z", "Region 4") &amp; "|" &amp; IF(MID(B15,2,1)="0", MID(B15,3,2), MID(B15,2,3)),
    'Womens Seeding'!$D$2:$D$100 &amp; "|" &amp; 'Womens Seeding'!$B$2:$B$100,
    'Womens Seeding'!$E$2:$E$100,
    "Not Found"
)</f>
        <v>3270</v>
      </c>
    </row>
    <row r="16" spans="1:3" x14ac:dyDescent="0.3">
      <c r="A16">
        <v>2026</v>
      </c>
      <c r="B16" t="s">
        <v>17</v>
      </c>
      <c r="C16" cm="1">
        <f t="array" ref="C16">_xlfn.XLOOKUP(
    _xlfn.SWITCH(LEFT(B16,1), "W", "Region 1", "X", "Region 2", "Y", "Region 3", "Z", "Region 4") &amp; "|" &amp; IF(MID(B16,2,1)="0", MID(B16,3,2), MID(B16,2,3)),
    'Womens Seeding'!$D$2:$D$100 &amp; "|" &amp; 'Womens Seeding'!$B$2:$B$100,
    'Womens Seeding'!$E$2:$E$100,
    "Not Found"
)</f>
        <v>3258</v>
      </c>
    </row>
    <row r="17" spans="1:3" x14ac:dyDescent="0.3">
      <c r="A17">
        <v>2026</v>
      </c>
      <c r="B17" t="s">
        <v>18</v>
      </c>
      <c r="C17" cm="1">
        <f t="array" ref="C17">_xlfn.XLOOKUP(
    _xlfn.SWITCH(LEFT(B17,1), "W", "Region 1", "X", "Region 2", "Y", "Region 3", "Z", "Region 4") &amp; "|" &amp; IF(MID(B17,2,1)="0", MID(B17,3,2), MID(B17,2,3)),
    'Womens Seeding'!$D$2:$D$100 &amp; "|" &amp; 'Womens Seeding'!$B$2:$B$100,
    'Womens Seeding'!$E$2:$E$100,
    "Not Found"
)</f>
        <v>3192</v>
      </c>
    </row>
    <row r="18" spans="1:3" x14ac:dyDescent="0.3">
      <c r="A18">
        <v>2026</v>
      </c>
      <c r="B18" t="s">
        <v>19</v>
      </c>
      <c r="C18" cm="1">
        <f t="array" ref="C18">_xlfn.XLOOKUP(
    _xlfn.SWITCH(LEFT(B18,1), "W", "Region 1", "X", "Region 2", "Y", "Region 3", "Z", "Region 4") &amp; "|" &amp; IF(MID(B18,2,1)="0", MID(B18,3,2), MID(B18,2,3)),
    'Womens Seeding'!$D$2:$D$100 &amp; "|" &amp; 'Womens Seeding'!$B$2:$B$100,
    'Womens Seeding'!$E$2:$E$100,
    "Not Found"
)</f>
        <v>3417</v>
      </c>
    </row>
    <row r="19" spans="1:3" x14ac:dyDescent="0.3">
      <c r="A19">
        <v>2026</v>
      </c>
      <c r="B19" t="s">
        <v>20</v>
      </c>
      <c r="C19" cm="1">
        <f t="array" ref="C19">_xlfn.XLOOKUP(
    _xlfn.SWITCH(LEFT(B19,1), "W", "Region 1", "X", "Region 2", "Y", "Region 3", "Z", "Region 4") &amp; "|" &amp; IF(MID(B19,2,1)="0", MID(B19,3,2), MID(B19,2,3)),
    'Womens Seeding'!$D$2:$D$100 &amp; "|" &amp; 'Womens Seeding'!$B$2:$B$100,
    'Womens Seeding'!$E$2:$E$100,
    "Not Found"
)</f>
        <v>3261</v>
      </c>
    </row>
    <row r="20" spans="1:3" x14ac:dyDescent="0.3">
      <c r="A20">
        <v>2026</v>
      </c>
      <c r="B20" t="s">
        <v>21</v>
      </c>
      <c r="C20" cm="1">
        <f t="array" ref="C20">_xlfn.XLOOKUP(
    _xlfn.SWITCH(LEFT(B20,1), "W", "Region 1", "X", "Region 2", "Y", "Region 3", "Z", "Region 4") &amp; "|" &amp; IF(MID(B20,2,1)="0", MID(B20,3,2), MID(B20,2,3)),
    'Womens Seeding'!$D$2:$D$100 &amp; "|" &amp; 'Womens Seeding'!$B$2:$B$100,
    'Womens Seeding'!$E$2:$E$100,
    "Not Found"
)</f>
        <v>3257</v>
      </c>
    </row>
    <row r="21" spans="1:3" x14ac:dyDescent="0.3">
      <c r="A21">
        <v>2026</v>
      </c>
      <c r="B21" t="s">
        <v>22</v>
      </c>
      <c r="C21" cm="1">
        <f t="array" ref="C21">_xlfn.XLOOKUP(
    _xlfn.SWITCH(LEFT(B21,1), "W", "Region 1", "X", "Region 2", "Y", "Region 3", "Z", "Region 4") &amp; "|" &amp; IF(MID(B21,2,1)="0", MID(B21,3,2), MID(B21,2,3)),
    'Womens Seeding'!$D$2:$D$100 &amp; "|" &amp; 'Womens Seeding'!$B$2:$B$100,
    'Womens Seeding'!$E$2:$E$100,
    "Not Found"
)</f>
        <v>3452</v>
      </c>
    </row>
    <row r="22" spans="1:3" x14ac:dyDescent="0.3">
      <c r="A22">
        <v>2026</v>
      </c>
      <c r="B22" t="s">
        <v>23</v>
      </c>
      <c r="C22" cm="1">
        <f t="array" ref="C22">_xlfn.XLOOKUP(
    _xlfn.SWITCH(LEFT(B22,1), "W", "Region 1", "X", "Region 2", "Y", "Region 3", "Z", "Region 4") &amp; "|" &amp; IF(MID(B22,2,1)="0", MID(B22,3,2), MID(B22,2,3)),
    'Womens Seeding'!$D$2:$D$100 &amp; "|" &amp; 'Womens Seeding'!$B$2:$B$100,
    'Womens Seeding'!$E$2:$E$100,
    "Not Found"
)</f>
        <v>3246</v>
      </c>
    </row>
    <row r="23" spans="1:3" x14ac:dyDescent="0.3">
      <c r="A23">
        <v>2026</v>
      </c>
      <c r="B23" t="s">
        <v>24</v>
      </c>
      <c r="C23" cm="1">
        <f t="array" ref="C23">_xlfn.XLOOKUP(
    _xlfn.SWITCH(LEFT(B23,1), "W", "Region 1", "X", "Region 2", "Y", "Region 3", "Z", "Region 4") &amp; "|" &amp; IF(MID(B23,2,1)="0", MID(B23,3,2), MID(B23,2,3)),
    'Womens Seeding'!$D$2:$D$100 &amp; "|" &amp; 'Womens Seeding'!$B$2:$B$100,
    'Womens Seeding'!$E$2:$E$100,
    "Not Found"
)</f>
        <v>3124</v>
      </c>
    </row>
    <row r="24" spans="1:3" x14ac:dyDescent="0.3">
      <c r="A24">
        <v>2026</v>
      </c>
      <c r="B24" t="s">
        <v>25</v>
      </c>
      <c r="C24" cm="1">
        <f t="array" ref="C24">_xlfn.XLOOKUP(
    _xlfn.SWITCH(LEFT(B24,1), "W", "Region 1", "X", "Region 2", "Y", "Region 3", "Z", "Region 4") &amp; "|" &amp; IF(MID(B24,2,1)="0", MID(B24,3,2), MID(B24,2,3)),
    'Womens Seeding'!$D$2:$D$100 &amp; "|" &amp; 'Womens Seeding'!$B$2:$B$100,
    'Womens Seeding'!$E$2:$E$100,
    "Not Found"
)</f>
        <v>3449</v>
      </c>
    </row>
    <row r="25" spans="1:3" x14ac:dyDescent="0.3">
      <c r="A25">
        <v>2026</v>
      </c>
      <c r="B25" t="s">
        <v>26</v>
      </c>
      <c r="C25" cm="1">
        <f t="array" ref="C25">_xlfn.XLOOKUP(
    _xlfn.SWITCH(LEFT(B25,1), "W", "Region 1", "X", "Region 2", "Y", "Region 3", "Z", "Region 4") &amp; "|" &amp; IF(MID(B25,2,1)="0", MID(B25,3,2), MID(B25,2,3)),
    'Womens Seeding'!$D$2:$D$100 &amp; "|" &amp; 'Womens Seeding'!$B$2:$B$100,
    'Womens Seeding'!$E$2:$E$100,
    "Not Found"
)</f>
        <v>3397</v>
      </c>
    </row>
    <row r="26" spans="1:3" x14ac:dyDescent="0.3">
      <c r="A26">
        <v>2026</v>
      </c>
      <c r="B26" t="s">
        <v>27</v>
      </c>
      <c r="C26" cm="1">
        <f t="array" ref="C26">_xlfn.XLOOKUP(
    _xlfn.SWITCH(LEFT(B26,1), "W", "Region 1", "X", "Region 2", "Y", "Region 3", "Z", "Region 4") &amp; "|" &amp; IF(MID(B26,2,1)="0", MID(B26,3,2), MID(B26,2,3)),
    'Womens Seeding'!$D$2:$D$100 &amp; "|" &amp; 'Womens Seeding'!$B$2:$B$100,
    'Womens Seeding'!$E$2:$E$100,
    "Not Found"
)</f>
        <v>3393</v>
      </c>
    </row>
    <row r="27" spans="1:3" x14ac:dyDescent="0.3">
      <c r="A27">
        <v>2026</v>
      </c>
      <c r="B27" t="s">
        <v>28</v>
      </c>
      <c r="C27" cm="1">
        <f t="array" ref="C27">_xlfn.XLOOKUP(
    _xlfn.SWITCH(LEFT(B27,1), "W", "Region 1", "X", "Region 2", "Y", "Region 3", "Z", "Region 4") &amp; "|" &amp; IF(MID(B27,2,1)="0", MID(B27,3,2), MID(B27,2,3)),
    'Womens Seeding'!$D$2:$D$100 &amp; "|" &amp; 'Womens Seeding'!$B$2:$B$100,
    'Womens Seeding'!$E$2:$E$100,
    "Not Found"
)</f>
        <v>3160</v>
      </c>
    </row>
    <row r="28" spans="1:3" x14ac:dyDescent="0.3">
      <c r="A28">
        <v>2026</v>
      </c>
      <c r="B28" t="s">
        <v>29</v>
      </c>
      <c r="C28" cm="1">
        <f t="array" ref="C28">_xlfn.XLOOKUP(
    _xlfn.SWITCH(LEFT(B28,1), "W", "Region 1", "X", "Region 2", "Y", "Region 3", "Z", "Region 4") &amp; "|" &amp; IF(MID(B28,2,1)="0", MID(B28,3,2), MID(B28,2,3)),
    'Womens Seeding'!$D$2:$D$100 &amp; "|" &amp; 'Womens Seeding'!$B$2:$B$100,
    'Womens Seeding'!$E$2:$E$100,
    "Not Found"
)</f>
        <v>3348</v>
      </c>
    </row>
    <row r="29" spans="1:3" x14ac:dyDescent="0.3">
      <c r="A29">
        <v>2026</v>
      </c>
      <c r="B29" t="s">
        <v>30</v>
      </c>
      <c r="C29" cm="1">
        <f t="array" ref="C29">_xlfn.XLOOKUP(
    _xlfn.SWITCH(LEFT(B29,1), "W", "Region 1", "X", "Region 2", "Y", "Region 3", "Z", "Region 4") &amp; "|" &amp; IF(MID(B29,2,1)="0", MID(B29,3,2), MID(B29,2,3)),
    'Womens Seeding'!$D$2:$D$100 &amp; "|" &amp; 'Womens Seeding'!$B$2:$B$100,
    'Womens Seeding'!$E$2:$E$100,
    "Not Found"
)</f>
        <v>3275</v>
      </c>
    </row>
    <row r="30" spans="1:3" x14ac:dyDescent="0.3">
      <c r="A30">
        <v>2026</v>
      </c>
      <c r="B30" t="s">
        <v>31</v>
      </c>
      <c r="C30" cm="1">
        <f t="array" ref="C30">_xlfn.XLOOKUP(
    _xlfn.SWITCH(LEFT(B30,1), "W", "Region 1", "X", "Region 2", "Y", "Region 3", "Z", "Region 4") &amp; "|" &amp; IF(MID(B30,2,1)="0", MID(B30,3,2), MID(B30,2,3)),
    'Womens Seeding'!$D$2:$D$100 &amp; "|" &amp; 'Womens Seeding'!$B$2:$B$100,
    'Womens Seeding'!$E$2:$E$100,
    "Not Found"
)</f>
        <v>3407</v>
      </c>
    </row>
    <row r="31" spans="1:3" x14ac:dyDescent="0.3">
      <c r="A31">
        <v>2026</v>
      </c>
      <c r="B31" t="s">
        <v>32</v>
      </c>
      <c r="C31" cm="1">
        <f t="array" ref="C31">_xlfn.XLOOKUP(
    _xlfn.SWITCH(LEFT(B31,1), "W", "Region 1", "X", "Region 2", "Y", "Region 3", "Z", "Region 4") &amp; "|" &amp; IF(MID(B31,2,1)="0", MID(B31,3,2), MID(B31,2,3)),
    'Womens Seeding'!$D$2:$D$100 &amp; "|" &amp; 'Womens Seeding'!$B$2:$B$100,
    'Womens Seeding'!$E$2:$E$100,
    "Not Found"
)</f>
        <v>3158</v>
      </c>
    </row>
    <row r="32" spans="1:3" x14ac:dyDescent="0.3">
      <c r="A32">
        <v>2026</v>
      </c>
      <c r="B32" t="s">
        <v>33</v>
      </c>
      <c r="C32" cm="1">
        <f t="array" ref="C32">_xlfn.XLOOKUP(
    _xlfn.SWITCH(LEFT(B32,1), "W", "Region 1", "X", "Region 2", "Y", "Region 3", "Z", "Region 4") &amp; "|" &amp; IF(MID(B32,2,1)="0", MID(B32,3,2), MID(B32,2,3)),
    'Womens Seeding'!$D$2:$D$100 &amp; "|" &amp; 'Womens Seeding'!$B$2:$B$100,
    'Womens Seeding'!$E$2:$E$100,
    "Not Found"
)</f>
        <v>3298</v>
      </c>
    </row>
    <row r="33" spans="1:3" x14ac:dyDescent="0.3">
      <c r="A33">
        <v>2026</v>
      </c>
      <c r="B33" t="s">
        <v>456</v>
      </c>
      <c r="C33" cm="1">
        <f t="array" ref="C33">_xlfn.XLOOKUP(
    _xlfn.SWITCH(LEFT(B33,1), "W", "Region 1", "X", "Region 2", "Y", "Region 3", "Z", "Region 4") &amp; "|" &amp; IF(MID(B33,2,1)="0", MID(B33,3,2), MID(B33,2,3)),
    'Womens Seeding'!$D$2:$D$100 &amp; "|" &amp; 'Womens Seeding'!$B$2:$B$100,
    'Womens Seeding'!$E$2:$E$100,
    "Not Found"
)</f>
        <v>3465</v>
      </c>
    </row>
    <row r="34" spans="1:3" x14ac:dyDescent="0.3">
      <c r="A34">
        <v>2026</v>
      </c>
      <c r="B34" t="s">
        <v>34</v>
      </c>
      <c r="C34" cm="1">
        <f t="array" ref="C34">_xlfn.XLOOKUP(
    _xlfn.SWITCH(LEFT(B34,1), "W", "Region 1", "X", "Region 2", "Y", "Region 3", "Z", "Region 4") &amp; "|" &amp; IF(MID(B34,2,1)="0", MID(B34,3,2), MID(B34,2,3)),
    'Womens Seeding'!$D$2:$D$100 &amp; "|" &amp; 'Womens Seeding'!$B$2:$B$100,
    'Womens Seeding'!$E$2:$E$100,
    "Not Found"
)</f>
        <v>3400</v>
      </c>
    </row>
    <row r="35" spans="1:3" x14ac:dyDescent="0.3">
      <c r="A35">
        <v>2026</v>
      </c>
      <c r="B35" t="s">
        <v>35</v>
      </c>
      <c r="C35" cm="1">
        <f t="array" ref="C35">_xlfn.XLOOKUP(
    _xlfn.SWITCH(LEFT(B35,1), "W", "Region 1", "X", "Region 2", "Y", "Region 3", "Z", "Region 4") &amp; "|" &amp; IF(MID(B35,2,1)="0", MID(B35,3,2), MID(B35,2,3)),
    'Womens Seeding'!$D$2:$D$100 &amp; "|" &amp; 'Womens Seeding'!$B$2:$B$100,
    'Womens Seeding'!$E$2:$E$100,
    "Not Found"
)</f>
        <v>3181</v>
      </c>
    </row>
    <row r="36" spans="1:3" x14ac:dyDescent="0.3">
      <c r="A36">
        <v>2026</v>
      </c>
      <c r="B36" t="s">
        <v>36</v>
      </c>
      <c r="C36" cm="1">
        <f t="array" ref="C36">_xlfn.XLOOKUP(
    _xlfn.SWITCH(LEFT(B36,1), "W", "Region 1", "X", "Region 2", "Y", "Region 3", "Z", "Region 4") &amp; "|" &amp; IF(MID(B36,2,1)="0", MID(B36,3,2), MID(B36,2,3)),
    'Womens Seeding'!$D$2:$D$100 &amp; "|" &amp; 'Womens Seeding'!$B$2:$B$100,
    'Womens Seeding'!$E$2:$E$100,
    "Not Found"
)</f>
        <v>3326</v>
      </c>
    </row>
    <row r="37" spans="1:3" x14ac:dyDescent="0.3">
      <c r="A37">
        <v>2026</v>
      </c>
      <c r="B37" t="s">
        <v>37</v>
      </c>
      <c r="C37" cm="1">
        <f t="array" ref="C37">_xlfn.XLOOKUP(
    _xlfn.SWITCH(LEFT(B37,1), "W", "Region 1", "X", "Region 2", "Y", "Region 3", "Z", "Region 4") &amp; "|" &amp; IF(MID(B37,2,1)="0", MID(B37,3,2), MID(B37,2,3)),
    'Womens Seeding'!$D$2:$D$100 &amp; "|" &amp; 'Womens Seeding'!$B$2:$B$100,
    'Womens Seeding'!$E$2:$E$100,
    "Not Found"
)</f>
        <v>3328</v>
      </c>
    </row>
    <row r="38" spans="1:3" x14ac:dyDescent="0.3">
      <c r="A38">
        <v>2026</v>
      </c>
      <c r="B38" t="s">
        <v>38</v>
      </c>
      <c r="C38" cm="1">
        <f t="array" ref="C38">_xlfn.XLOOKUP(
    _xlfn.SWITCH(LEFT(B38,1), "W", "Region 1", "X", "Region 2", "Y", "Region 3", "Z", "Region 4") &amp; "|" &amp; IF(MID(B38,2,1)="0", MID(B38,3,2), MID(B38,2,3)),
    'Womens Seeding'!$D$2:$D$100 &amp; "|" &amp; 'Womens Seeding'!$B$2:$B$100,
    'Womens Seeding'!$E$2:$E$100,
    "Not Found"
)</f>
        <v>3277</v>
      </c>
    </row>
    <row r="39" spans="1:3" x14ac:dyDescent="0.3">
      <c r="A39">
        <v>2026</v>
      </c>
      <c r="B39" t="s">
        <v>39</v>
      </c>
      <c r="C39" cm="1">
        <f t="array" ref="C39">_xlfn.XLOOKUP(
    _xlfn.SWITCH(LEFT(B39,1), "W", "Region 1", "X", "Region 2", "Y", "Region 3", "Z", "Region 4") &amp; "|" &amp; IF(MID(B39,2,1)="0", MID(B39,3,2), MID(B39,2,3)),
    'Womens Seeding'!$D$2:$D$100 &amp; "|" &amp; 'Womens Seeding'!$B$2:$B$100,
    'Womens Seeding'!$E$2:$E$100,
    "Not Found"
)</f>
        <v>3323</v>
      </c>
    </row>
    <row r="40" spans="1:3" x14ac:dyDescent="0.3">
      <c r="A40">
        <v>2026</v>
      </c>
      <c r="B40" t="s">
        <v>40</v>
      </c>
      <c r="C40" cm="1">
        <f t="array" ref="C40">_xlfn.XLOOKUP(
    _xlfn.SWITCH(LEFT(B40,1), "W", "Region 1", "X", "Region 2", "Y", "Region 3", "Z", "Region 4") &amp; "|" &amp; IF(MID(B40,2,1)="0", MID(B40,3,2), MID(B40,2,3)),
    'Womens Seeding'!$D$2:$D$100 &amp; "|" &amp; 'Womens Seeding'!$B$2:$B$100,
    'Womens Seeding'!$E$2:$E$100,
    "Not Found"
)</f>
        <v>3208</v>
      </c>
    </row>
    <row r="41" spans="1:3" x14ac:dyDescent="0.3">
      <c r="A41">
        <v>2026</v>
      </c>
      <c r="B41" t="s">
        <v>41</v>
      </c>
      <c r="C41" cm="1">
        <f t="array" ref="C41">_xlfn.XLOOKUP(
    _xlfn.SWITCH(LEFT(B41,1), "W", "Region 1", "X", "Region 2", "Y", "Region 3", "Z", "Region 4") &amp; "|" &amp; IF(MID(B41,2,1)="0", MID(B41,3,2), MID(B41,2,3)),
    'Womens Seeding'!$D$2:$D$100 &amp; "|" &amp; 'Womens Seeding'!$B$2:$B$100,
    'Womens Seeding'!$E$2:$E$100,
    "Not Found"
)</f>
        <v>3437</v>
      </c>
    </row>
    <row r="42" spans="1:3" x14ac:dyDescent="0.3">
      <c r="A42">
        <v>2026</v>
      </c>
      <c r="B42" t="s">
        <v>42</v>
      </c>
      <c r="C42" cm="1">
        <f t="array" ref="C42">_xlfn.XLOOKUP(
    _xlfn.SWITCH(LEFT(B42,1), "W", "Region 1", "X", "Region 2", "Y", "Region 3", "Z", "Region 4") &amp; "|" &amp; IF(MID(B42,2,1)="0", MID(B42,3,2), MID(B42,2,3)),
    'Womens Seeding'!$D$2:$D$100 &amp; "|" &amp; 'Womens Seeding'!$B$2:$B$100,
    'Womens Seeding'!$E$2:$E$100,
    "Not Found"
)</f>
        <v>3439</v>
      </c>
    </row>
    <row r="43" spans="1:3" x14ac:dyDescent="0.3">
      <c r="A43">
        <v>2026</v>
      </c>
      <c r="B43" t="s">
        <v>43</v>
      </c>
      <c r="C43" cm="1">
        <f t="array" ref="C43">_xlfn.XLOOKUP(
    _xlfn.SWITCH(LEFT(B43,1), "W", "Region 1", "X", "Region 2", "Y", "Region 3", "Z", "Region 4") &amp; "|" &amp; IF(MID(B43,2,1)="0", MID(B43,3,2), MID(B43,2,3)),
    'Womens Seeding'!$D$2:$D$100 &amp; "|" &amp; 'Womens Seeding'!$B$2:$B$100,
    'Womens Seeding'!$E$2:$E$100,
    "Not Found"
)</f>
        <v>3343</v>
      </c>
    </row>
    <row r="44" spans="1:3" x14ac:dyDescent="0.3">
      <c r="A44">
        <v>2026</v>
      </c>
      <c r="B44" t="s">
        <v>455</v>
      </c>
      <c r="C44" cm="1">
        <f t="array" ref="C44">_xlfn.XLOOKUP(
    _xlfn.SWITCH(LEFT(B44,1), "W", "Region 1", "X", "Region 2", "Y", "Region 3", "Z", "Region 4") &amp; "|" &amp; IF(MID(B44,2,1)="0", MID(B44,3,2), MID(B44,2,3)),
    'Womens Seeding'!$D$2:$D$100 &amp; "|" &amp; 'Womens Seeding'!$B$2:$B$100,
    'Womens Seeding'!$E$2:$E$100,
    "Not Found"
)</f>
        <v>3349</v>
      </c>
    </row>
    <row r="45" spans="1:3" x14ac:dyDescent="0.3">
      <c r="A45">
        <v>2026</v>
      </c>
      <c r="B45" t="s">
        <v>44</v>
      </c>
      <c r="C45" cm="1">
        <f t="array" ref="C45">_xlfn.XLOOKUP(
    _xlfn.SWITCH(LEFT(B45,1), "W", "Region 1", "X", "Region 2", "Y", "Region 3", "Z", "Region 4") &amp; "|" &amp; IF(MID(B45,2,1)="0", MID(B45,3,2), MID(B45,2,3)),
    'Womens Seeding'!$D$2:$D$100 &amp; "|" &amp; 'Womens Seeding'!$B$2:$B$100,
    'Womens Seeding'!$E$2:$E$100,
    "Not Found"
)</f>
        <v>3293</v>
      </c>
    </row>
    <row r="46" spans="1:3" x14ac:dyDescent="0.3">
      <c r="A46">
        <v>2026</v>
      </c>
      <c r="B46" t="s">
        <v>45</v>
      </c>
      <c r="C46" cm="1">
        <f t="array" ref="C46">_xlfn.XLOOKUP(
    _xlfn.SWITCH(LEFT(B46,1), "W", "Region 1", "X", "Region 2", "Y", "Region 3", "Z", "Region 4") &amp; "|" &amp; IF(MID(B46,2,1)="0", MID(B46,3,2), MID(B46,2,3)),
    'Womens Seeding'!$D$2:$D$100 &amp; "|" &amp; 'Womens Seeding'!$B$2:$B$100,
    'Womens Seeding'!$E$2:$E$100,
    "Not Found"
)</f>
        <v>3424</v>
      </c>
    </row>
    <row r="47" spans="1:3" x14ac:dyDescent="0.3">
      <c r="A47">
        <v>2026</v>
      </c>
      <c r="B47" t="s">
        <v>46</v>
      </c>
      <c r="C47" cm="1">
        <f t="array" ref="C47">_xlfn.XLOOKUP(
    _xlfn.SWITCH(LEFT(B47,1), "W", "Region 1", "X", "Region 2", "Y", "Region 3", "Z", "Region 4") &amp; "|" &amp; IF(MID(B47,2,1)="0", MID(B47,3,2), MID(B47,2,3)),
    'Womens Seeding'!$D$2:$D$100 &amp; "|" &amp; 'Womens Seeding'!$B$2:$B$100,
    'Womens Seeding'!$E$2:$E$100,
    "Not Found"
)</f>
        <v>3436</v>
      </c>
    </row>
    <row r="48" spans="1:3" x14ac:dyDescent="0.3">
      <c r="A48">
        <v>2026</v>
      </c>
      <c r="B48" t="s">
        <v>47</v>
      </c>
      <c r="C48" cm="1">
        <f t="array" ref="C48">_xlfn.XLOOKUP(
    _xlfn.SWITCH(LEFT(B48,1), "W", "Region 1", "X", "Region 2", "Y", "Region 3", "Z", "Region 4") &amp; "|" &amp; IF(MID(B48,2,1)="0", MID(B48,3,2), MID(B48,2,3)),
    'Womens Seeding'!$D$2:$D$100 &amp; "|" &amp; 'Womens Seeding'!$B$2:$B$100,
    'Womens Seeding'!$E$2:$E$100,
    "Not Found"
)</f>
        <v>3239</v>
      </c>
    </row>
    <row r="49" spans="1:3" x14ac:dyDescent="0.3">
      <c r="A49">
        <v>2026</v>
      </c>
      <c r="B49" t="s">
        <v>454</v>
      </c>
      <c r="C49" cm="1">
        <f t="array" ref="C49">_xlfn.XLOOKUP(
    _xlfn.SWITCH(LEFT(B49,1), "W", "Region 1", "X", "Region 2", "Y", "Region 3", "Z", "Region 4") &amp; "|" &amp; IF(MID(B49,2,1)="0", MID(B49,3,2), MID(B49,2,3)),
    'Womens Seeding'!$D$2:$D$100 &amp; "|" &amp; 'Womens Seeding'!$B$2:$B$100,
    'Womens Seeding'!$E$2:$E$100,
    "Not Found"
)</f>
        <v>3105</v>
      </c>
    </row>
    <row r="50" spans="1:3" x14ac:dyDescent="0.3">
      <c r="A50">
        <v>2026</v>
      </c>
      <c r="B50" t="s">
        <v>48</v>
      </c>
      <c r="C50" cm="1">
        <f t="array" ref="C50">_xlfn.XLOOKUP(
    _xlfn.SWITCH(LEFT(B50,1), "W", "Region 1", "X", "Region 2", "Y", "Region 3", "Z", "Region 4") &amp; "|" &amp; IF(MID(B50,2,1)="0", MID(B50,3,2), MID(B50,2,3)),
    'Womens Seeding'!$D$2:$D$100 &amp; "|" &amp; 'Womens Seeding'!$B$2:$B$100,
    'Womens Seeding'!$E$2:$E$100,
    "Not Found"
)</f>
        <v>3376</v>
      </c>
    </row>
    <row r="51" spans="1:3" x14ac:dyDescent="0.3">
      <c r="A51">
        <v>2026</v>
      </c>
      <c r="B51" t="s">
        <v>49</v>
      </c>
      <c r="C51" cm="1">
        <f t="array" ref="C51">_xlfn.XLOOKUP(
    _xlfn.SWITCH(LEFT(B51,1), "W", "Region 1", "X", "Region 2", "Y", "Region 3", "Z", "Region 4") &amp; "|" &amp; IF(MID(B51,2,1)="0", MID(B51,3,2), MID(B51,2,3)),
    'Womens Seeding'!$D$2:$D$100 &amp; "|" &amp; 'Womens Seeding'!$B$2:$B$100,
    'Womens Seeding'!$E$2:$E$100,
    "Not Found"
)</f>
        <v>3234</v>
      </c>
    </row>
    <row r="52" spans="1:3" x14ac:dyDescent="0.3">
      <c r="A52">
        <v>2026</v>
      </c>
      <c r="B52" t="s">
        <v>50</v>
      </c>
      <c r="C52" cm="1">
        <f t="array" ref="C52">_xlfn.XLOOKUP(
    _xlfn.SWITCH(LEFT(B52,1), "W", "Region 1", "X", "Region 2", "Y", "Region 3", "Z", "Region 4") &amp; "|" &amp; IF(MID(B52,2,1)="0", MID(B52,3,2), MID(B52,2,3)),
    'Womens Seeding'!$D$2:$D$100 &amp; "|" &amp; 'Womens Seeding'!$B$2:$B$100,
    'Womens Seeding'!$E$2:$E$100,
    "Not Found"
)</f>
        <v>3395</v>
      </c>
    </row>
    <row r="53" spans="1:3" x14ac:dyDescent="0.3">
      <c r="A53">
        <v>2026</v>
      </c>
      <c r="B53" t="s">
        <v>51</v>
      </c>
      <c r="C53" cm="1">
        <f t="array" ref="C53">_xlfn.XLOOKUP(
    _xlfn.SWITCH(LEFT(B53,1), "W", "Region 1", "X", "Region 2", "Y", "Region 3", "Z", "Region 4") &amp; "|" &amp; IF(MID(B53,2,1)="0", MID(B53,3,2), MID(B53,2,3)),
    'Womens Seeding'!$D$2:$D$100 &amp; "|" &amp; 'Womens Seeding'!$B$2:$B$100,
    'Womens Seeding'!$E$2:$E$100,
    "Not Found"
)</f>
        <v>3278</v>
      </c>
    </row>
    <row r="54" spans="1:3" x14ac:dyDescent="0.3">
      <c r="A54">
        <v>2026</v>
      </c>
      <c r="B54" t="s">
        <v>52</v>
      </c>
      <c r="C54" cm="1">
        <f t="array" ref="C54">_xlfn.XLOOKUP(
    _xlfn.SWITCH(LEFT(B54,1), "W", "Region 1", "X", "Region 2", "Y", "Region 3", "Z", "Region 4") &amp; "|" &amp; IF(MID(B54,2,1)="0", MID(B54,3,2), MID(B54,2,3)),
    'Womens Seeding'!$D$2:$D$100 &amp; "|" &amp; 'Womens Seeding'!$B$2:$B$100,
    'Womens Seeding'!$E$2:$E$100,
    "Not Found"
)</f>
        <v>3314</v>
      </c>
    </row>
    <row r="55" spans="1:3" x14ac:dyDescent="0.3">
      <c r="A55">
        <v>2026</v>
      </c>
      <c r="B55" t="s">
        <v>53</v>
      </c>
      <c r="C55" cm="1">
        <f t="array" ref="C55">_xlfn.XLOOKUP(
    _xlfn.SWITCH(LEFT(B55,1), "W", "Region 1", "X", "Region 2", "Y", "Region 3", "Z", "Region 4") &amp; "|" &amp; IF(MID(B55,2,1)="0", MID(B55,3,2), MID(B55,2,3)),
    'Womens Seeding'!$D$2:$D$100 &amp; "|" &amp; 'Womens Seeding'!$B$2:$B$100,
    'Womens Seeding'!$E$2:$E$100,
    "Not Found"
)</f>
        <v>3104</v>
      </c>
    </row>
    <row r="56" spans="1:3" x14ac:dyDescent="0.3">
      <c r="A56">
        <v>2026</v>
      </c>
      <c r="B56" t="s">
        <v>54</v>
      </c>
      <c r="C56" cm="1">
        <f t="array" ref="C56">_xlfn.XLOOKUP(
    _xlfn.SWITCH(LEFT(B56,1), "W", "Region 1", "X", "Region 2", "Y", "Region 3", "Z", "Region 4") &amp; "|" &amp; IF(MID(B56,2,1)="0", MID(B56,3,2), MID(B56,2,3)),
    'Womens Seeding'!$D$2:$D$100 &amp; "|" &amp; 'Womens Seeding'!$B$2:$B$100,
    'Womens Seeding'!$E$2:$E$100,
    "Not Found"
)</f>
        <v>3332</v>
      </c>
    </row>
    <row r="57" spans="1:3" x14ac:dyDescent="0.3">
      <c r="A57">
        <v>2026</v>
      </c>
      <c r="B57" t="s">
        <v>55</v>
      </c>
      <c r="C57" cm="1">
        <f t="array" ref="C57">_xlfn.XLOOKUP(
    _xlfn.SWITCH(LEFT(B57,1), "W", "Region 1", "X", "Region 2", "Y", "Region 3", "Z", "Region 4") &amp; "|" &amp; IF(MID(B57,2,1)="0", MID(B57,3,2), MID(B57,2,3)),
    'Womens Seeding'!$D$2:$D$100 &amp; "|" &amp; 'Womens Seeding'!$B$2:$B$100,
    'Womens Seeding'!$E$2:$E$100,
    "Not Found"
)</f>
        <v>3329</v>
      </c>
    </row>
    <row r="58" spans="1:3" x14ac:dyDescent="0.3">
      <c r="A58">
        <v>2026</v>
      </c>
      <c r="B58" t="s">
        <v>56</v>
      </c>
      <c r="C58" cm="1">
        <f t="array" ref="C58">_xlfn.XLOOKUP(
    _xlfn.SWITCH(LEFT(B58,1), "W", "Region 1", "X", "Region 2", "Y", "Region 3", "Z", "Region 4") &amp; "|" &amp; IF(MID(B58,2,1)="0", MID(B58,3,2), MID(B58,2,3)),
    'Womens Seeding'!$D$2:$D$100 &amp; "|" &amp; 'Womens Seeding'!$B$2:$B$100,
    'Womens Seeding'!$E$2:$E$100,
    "Not Found"
)</f>
        <v>3425</v>
      </c>
    </row>
    <row r="59" spans="1:3" x14ac:dyDescent="0.3">
      <c r="A59">
        <v>2026</v>
      </c>
      <c r="B59" t="s">
        <v>57</v>
      </c>
      <c r="C59" cm="1">
        <f t="array" ref="C59">_xlfn.XLOOKUP(
    _xlfn.SWITCH(LEFT(B59,1), "W", "Region 1", "X", "Region 2", "Y", "Region 3", "Z", "Region 4") &amp; "|" &amp; IF(MID(B59,2,1)="0", MID(B59,3,2), MID(B59,2,3)),
    'Womens Seeding'!$D$2:$D$100 &amp; "|" &amp; 'Womens Seeding'!$B$2:$B$100,
    'Womens Seeding'!$E$2:$E$100,
    "Not Found"
)</f>
        <v>3355</v>
      </c>
    </row>
    <row r="60" spans="1:3" x14ac:dyDescent="0.3">
      <c r="A60">
        <v>2026</v>
      </c>
      <c r="B60" t="s">
        <v>453</v>
      </c>
      <c r="C60" cm="1">
        <f t="array" ref="C60">_xlfn.XLOOKUP(
    _xlfn.SWITCH(LEFT(B60,1), "W", "Region 1", "X", "Region 2", "Y", "Region 3", "Z", "Region 4") &amp; "|" &amp; IF(MID(B60,2,1)="0", MID(B60,3,2), MID(B60,2,3)),
    'Womens Seeding'!$D$2:$D$100 &amp; "|" &amp; 'Womens Seeding'!$B$2:$B$100,
    'Womens Seeding'!$E$2:$E$100,
    "Not Found"
)</f>
        <v>3304</v>
      </c>
    </row>
    <row r="61" spans="1:3" x14ac:dyDescent="0.3">
      <c r="A61">
        <v>2026</v>
      </c>
      <c r="B61" t="s">
        <v>58</v>
      </c>
      <c r="C61" cm="1">
        <f t="array" ref="C61">_xlfn.XLOOKUP(
    _xlfn.SWITCH(LEFT(B61,1), "W", "Region 1", "X", "Region 2", "Y", "Region 3", "Z", "Region 4") &amp; "|" &amp; IF(MID(B61,2,1)="0", MID(B61,3,2), MID(B61,2,3)),
    'Womens Seeding'!$D$2:$D$100 &amp; "|" &amp; 'Womens Seeding'!$B$2:$B$100,
    'Womens Seeding'!$E$2:$E$100,
    "Not Found"
)</f>
        <v>3453</v>
      </c>
    </row>
    <row r="62" spans="1:3" x14ac:dyDescent="0.3">
      <c r="A62">
        <v>2026</v>
      </c>
      <c r="B62" t="s">
        <v>59</v>
      </c>
      <c r="C62" cm="1">
        <f t="array" ref="C62">_xlfn.XLOOKUP(
    _xlfn.SWITCH(LEFT(B62,1), "W", "Region 1", "X", "Region 2", "Y", "Region 3", "Z", "Region 4") &amp; "|" &amp; IF(MID(B62,2,1)="0", MID(B62,3,2), MID(B62,2,3)),
    'Womens Seeding'!$D$2:$D$100 &amp; "|" &amp; 'Womens Seeding'!$B$2:$B$100,
    'Womens Seeding'!$E$2:$E$100,
    "Not Found"
)</f>
        <v>3414</v>
      </c>
    </row>
    <row r="63" spans="1:3" x14ac:dyDescent="0.3">
      <c r="A63">
        <v>2026</v>
      </c>
      <c r="B63" t="s">
        <v>60</v>
      </c>
      <c r="C63" cm="1">
        <f t="array" ref="C63">_xlfn.XLOOKUP(
    _xlfn.SWITCH(LEFT(B63,1), "W", "Region 1", "X", "Region 2", "Y", "Region 3", "Z", "Region 4") &amp; "|" &amp; IF(MID(B63,2,1)="0", MID(B63,3,2), MID(B63,2,3)),
    'Womens Seeding'!$D$2:$D$100 &amp; "|" &amp; 'Womens Seeding'!$B$2:$B$100,
    'Womens Seeding'!$E$2:$E$100,
    "Not Found"
)</f>
        <v>3225</v>
      </c>
    </row>
    <row r="64" spans="1:3" x14ac:dyDescent="0.3">
      <c r="A64">
        <v>2026</v>
      </c>
      <c r="B64" t="s">
        <v>61</v>
      </c>
      <c r="C64" cm="1">
        <f t="array" ref="C64">_xlfn.XLOOKUP(
    _xlfn.SWITCH(LEFT(B64,1), "W", "Region 1", "X", "Region 2", "Y", "Region 3", "Z", "Region 4") &amp; "|" &amp; IF(MID(B64,2,1)="0", MID(B64,3,2), MID(B64,2,3)),
    'Womens Seeding'!$D$2:$D$100 &amp; "|" &amp; 'Womens Seeding'!$B$2:$B$100,
    'Womens Seeding'!$E$2:$E$100,
    "Not Found"
)</f>
        <v>3442</v>
      </c>
    </row>
    <row r="65" spans="1:3" x14ac:dyDescent="0.3">
      <c r="A65">
        <v>2026</v>
      </c>
      <c r="B65" t="s">
        <v>62</v>
      </c>
      <c r="C65" cm="1">
        <f t="array" ref="C65">_xlfn.XLOOKUP(
    _xlfn.SWITCH(LEFT(B65,1), "W", "Region 1", "X", "Region 2", "Y", "Region 3", "Z", "Region 4") &amp; "|" &amp; IF(MID(B65,2,1)="0", MID(B65,3,2), MID(B65,2,3)),
    'Womens Seeding'!$D$2:$D$100 &amp; "|" &amp; 'Womens Seeding'!$B$2:$B$100,
    'Womens Seeding'!$E$2:$E$100,
    "Not Found"
)</f>
        <v>3219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61AF-1FFA-405F-A597-3DE97AFC8B79}">
  <dimension ref="A1:D33"/>
  <sheetViews>
    <sheetView workbookViewId="0">
      <selection activeCell="A34" sqref="A34:D68"/>
    </sheetView>
  </sheetViews>
  <sheetFormatPr defaultRowHeight="14.4" x14ac:dyDescent="0.3"/>
  <sheetData>
    <row r="1" spans="1:4" x14ac:dyDescent="0.3">
      <c r="A1" t="s">
        <v>0</v>
      </c>
      <c r="B1" t="s">
        <v>489</v>
      </c>
      <c r="C1" t="s">
        <v>490</v>
      </c>
      <c r="D1" t="s">
        <v>491</v>
      </c>
    </row>
    <row r="2" spans="1:4" x14ac:dyDescent="0.3">
      <c r="A2">
        <v>2026</v>
      </c>
      <c r="B2" t="s">
        <v>457</v>
      </c>
      <c r="C2" t="s">
        <v>3</v>
      </c>
      <c r="D2" t="s">
        <v>18</v>
      </c>
    </row>
    <row r="3" spans="1:4" x14ac:dyDescent="0.3">
      <c r="A3">
        <v>2026</v>
      </c>
      <c r="B3" t="s">
        <v>458</v>
      </c>
      <c r="C3" t="s">
        <v>4</v>
      </c>
      <c r="D3" t="s">
        <v>17</v>
      </c>
    </row>
    <row r="4" spans="1:4" x14ac:dyDescent="0.3">
      <c r="A4">
        <v>2026</v>
      </c>
      <c r="B4" t="s">
        <v>459</v>
      </c>
      <c r="C4" t="s">
        <v>5</v>
      </c>
      <c r="D4" t="s">
        <v>16</v>
      </c>
    </row>
    <row r="5" spans="1:4" x14ac:dyDescent="0.3">
      <c r="A5">
        <v>2026</v>
      </c>
      <c r="B5" t="s">
        <v>460</v>
      </c>
      <c r="C5" t="s">
        <v>6</v>
      </c>
      <c r="D5" t="s">
        <v>15</v>
      </c>
    </row>
    <row r="6" spans="1:4" x14ac:dyDescent="0.3">
      <c r="A6">
        <v>2026</v>
      </c>
      <c r="B6" t="s">
        <v>461</v>
      </c>
      <c r="C6" t="s">
        <v>7</v>
      </c>
      <c r="D6" t="s">
        <v>14</v>
      </c>
    </row>
    <row r="7" spans="1:4" x14ac:dyDescent="0.3">
      <c r="A7">
        <v>2026</v>
      </c>
      <c r="B7" t="s">
        <v>462</v>
      </c>
      <c r="C7" t="s">
        <v>8</v>
      </c>
      <c r="D7" t="s">
        <v>13</v>
      </c>
    </row>
    <row r="8" spans="1:4" x14ac:dyDescent="0.3">
      <c r="A8">
        <v>2026</v>
      </c>
      <c r="B8" t="s">
        <v>463</v>
      </c>
      <c r="C8" t="s">
        <v>9</v>
      </c>
      <c r="D8" t="s">
        <v>12</v>
      </c>
    </row>
    <row r="9" spans="1:4" x14ac:dyDescent="0.3">
      <c r="A9">
        <v>2026</v>
      </c>
      <c r="B9" t="s">
        <v>464</v>
      </c>
      <c r="C9" t="s">
        <v>10</v>
      </c>
      <c r="D9" t="s">
        <v>11</v>
      </c>
    </row>
    <row r="10" spans="1:4" x14ac:dyDescent="0.3">
      <c r="A10">
        <v>2026</v>
      </c>
      <c r="B10" t="s">
        <v>465</v>
      </c>
      <c r="C10" t="s">
        <v>19</v>
      </c>
      <c r="D10" t="s">
        <v>456</v>
      </c>
    </row>
    <row r="11" spans="1:4" x14ac:dyDescent="0.3">
      <c r="A11">
        <v>2026</v>
      </c>
      <c r="B11" t="s">
        <v>466</v>
      </c>
      <c r="C11" t="s">
        <v>20</v>
      </c>
      <c r="D11" t="s">
        <v>33</v>
      </c>
    </row>
    <row r="12" spans="1:4" x14ac:dyDescent="0.3">
      <c r="A12">
        <v>2026</v>
      </c>
      <c r="B12" t="s">
        <v>467</v>
      </c>
      <c r="C12" t="s">
        <v>21</v>
      </c>
      <c r="D12" t="s">
        <v>32</v>
      </c>
    </row>
    <row r="13" spans="1:4" x14ac:dyDescent="0.3">
      <c r="A13">
        <v>2026</v>
      </c>
      <c r="B13" t="s">
        <v>468</v>
      </c>
      <c r="C13" t="s">
        <v>22</v>
      </c>
      <c r="D13" t="s">
        <v>31</v>
      </c>
    </row>
    <row r="14" spans="1:4" x14ac:dyDescent="0.3">
      <c r="A14">
        <v>2026</v>
      </c>
      <c r="B14" t="s">
        <v>469</v>
      </c>
      <c r="C14" t="s">
        <v>23</v>
      </c>
      <c r="D14" t="s">
        <v>30</v>
      </c>
    </row>
    <row r="15" spans="1:4" x14ac:dyDescent="0.3">
      <c r="A15">
        <v>2026</v>
      </c>
      <c r="B15" t="s">
        <v>470</v>
      </c>
      <c r="C15" t="s">
        <v>24</v>
      </c>
      <c r="D15" t="s">
        <v>29</v>
      </c>
    </row>
    <row r="16" spans="1:4" x14ac:dyDescent="0.3">
      <c r="A16">
        <v>2026</v>
      </c>
      <c r="B16" t="s">
        <v>471</v>
      </c>
      <c r="C16" t="s">
        <v>25</v>
      </c>
      <c r="D16" t="s">
        <v>28</v>
      </c>
    </row>
    <row r="17" spans="1:4" x14ac:dyDescent="0.3">
      <c r="A17">
        <v>2026</v>
      </c>
      <c r="B17" t="s">
        <v>472</v>
      </c>
      <c r="C17" t="s">
        <v>26</v>
      </c>
      <c r="D17" t="s">
        <v>27</v>
      </c>
    </row>
    <row r="18" spans="1:4" x14ac:dyDescent="0.3">
      <c r="A18">
        <v>2026</v>
      </c>
      <c r="B18" t="s">
        <v>473</v>
      </c>
      <c r="C18" t="s">
        <v>34</v>
      </c>
      <c r="D18" t="s">
        <v>454</v>
      </c>
    </row>
    <row r="19" spans="1:4" x14ac:dyDescent="0.3">
      <c r="A19">
        <v>2026</v>
      </c>
      <c r="B19" t="s">
        <v>474</v>
      </c>
      <c r="C19" t="s">
        <v>35</v>
      </c>
      <c r="D19" t="s">
        <v>47</v>
      </c>
    </row>
    <row r="20" spans="1:4" x14ac:dyDescent="0.3">
      <c r="A20">
        <v>2026</v>
      </c>
      <c r="B20" t="s">
        <v>475</v>
      </c>
      <c r="C20" t="s">
        <v>36</v>
      </c>
      <c r="D20" t="s">
        <v>46</v>
      </c>
    </row>
    <row r="21" spans="1:4" x14ac:dyDescent="0.3">
      <c r="A21">
        <v>2026</v>
      </c>
      <c r="B21" t="s">
        <v>476</v>
      </c>
      <c r="C21" t="s">
        <v>37</v>
      </c>
      <c r="D21" t="s">
        <v>45</v>
      </c>
    </row>
    <row r="22" spans="1:4" x14ac:dyDescent="0.3">
      <c r="A22">
        <v>2026</v>
      </c>
      <c r="B22" t="s">
        <v>477</v>
      </c>
      <c r="C22" t="s">
        <v>38</v>
      </c>
      <c r="D22" t="s">
        <v>44</v>
      </c>
    </row>
    <row r="23" spans="1:4" x14ac:dyDescent="0.3">
      <c r="A23">
        <v>2026</v>
      </c>
      <c r="B23" t="s">
        <v>478</v>
      </c>
      <c r="C23" t="s">
        <v>39</v>
      </c>
      <c r="D23" t="s">
        <v>455</v>
      </c>
    </row>
    <row r="24" spans="1:4" x14ac:dyDescent="0.3">
      <c r="A24">
        <v>2026</v>
      </c>
      <c r="B24" t="s">
        <v>479</v>
      </c>
      <c r="C24" t="s">
        <v>40</v>
      </c>
      <c r="D24" t="s">
        <v>43</v>
      </c>
    </row>
    <row r="25" spans="1:4" x14ac:dyDescent="0.3">
      <c r="A25">
        <v>2026</v>
      </c>
      <c r="B25" t="s">
        <v>480</v>
      </c>
      <c r="C25" t="s">
        <v>41</v>
      </c>
      <c r="D25" t="s">
        <v>42</v>
      </c>
    </row>
    <row r="26" spans="1:4" x14ac:dyDescent="0.3">
      <c r="A26">
        <v>2026</v>
      </c>
      <c r="B26" t="s">
        <v>481</v>
      </c>
      <c r="C26" t="s">
        <v>48</v>
      </c>
      <c r="D26" t="s">
        <v>62</v>
      </c>
    </row>
    <row r="27" spans="1:4" x14ac:dyDescent="0.3">
      <c r="A27">
        <v>2026</v>
      </c>
      <c r="B27" t="s">
        <v>482</v>
      </c>
      <c r="C27" t="s">
        <v>49</v>
      </c>
      <c r="D27" t="s">
        <v>61</v>
      </c>
    </row>
    <row r="28" spans="1:4" x14ac:dyDescent="0.3">
      <c r="A28">
        <v>2026</v>
      </c>
      <c r="B28" t="s">
        <v>483</v>
      </c>
      <c r="C28" t="s">
        <v>50</v>
      </c>
      <c r="D28" t="s">
        <v>60</v>
      </c>
    </row>
    <row r="29" spans="1:4" x14ac:dyDescent="0.3">
      <c r="A29">
        <v>2026</v>
      </c>
      <c r="B29" t="s">
        <v>484</v>
      </c>
      <c r="C29" t="s">
        <v>51</v>
      </c>
      <c r="D29" t="s">
        <v>59</v>
      </c>
    </row>
    <row r="30" spans="1:4" x14ac:dyDescent="0.3">
      <c r="A30">
        <v>2026</v>
      </c>
      <c r="B30" t="s">
        <v>485</v>
      </c>
      <c r="C30" t="s">
        <v>52</v>
      </c>
      <c r="D30" t="s">
        <v>58</v>
      </c>
    </row>
    <row r="31" spans="1:4" x14ac:dyDescent="0.3">
      <c r="A31">
        <v>2026</v>
      </c>
      <c r="B31" t="s">
        <v>486</v>
      </c>
      <c r="C31" t="s">
        <v>53</v>
      </c>
      <c r="D31" t="s">
        <v>453</v>
      </c>
    </row>
    <row r="32" spans="1:4" x14ac:dyDescent="0.3">
      <c r="A32">
        <v>2026</v>
      </c>
      <c r="B32" t="s">
        <v>487</v>
      </c>
      <c r="C32" t="s">
        <v>54</v>
      </c>
      <c r="D32" t="s">
        <v>57</v>
      </c>
    </row>
    <row r="33" spans="1:4" x14ac:dyDescent="0.3">
      <c r="A33">
        <v>2026</v>
      </c>
      <c r="B33" t="s">
        <v>488</v>
      </c>
      <c r="C33" t="s">
        <v>55</v>
      </c>
      <c r="D3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MTeams</vt:lpstr>
      <vt:lpstr>Mens Seeding</vt:lpstr>
      <vt:lpstr>MNCAATourneySeeds</vt:lpstr>
      <vt:lpstr>MNCAATourneySlots</vt:lpstr>
      <vt:lpstr>Womens Seeding</vt:lpstr>
      <vt:lpstr>WTeams</vt:lpstr>
      <vt:lpstr>WNCAATourneySeeds</vt:lpstr>
      <vt:lpstr>WNCAATourneySlots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 Kervin</dc:creator>
  <cp:lastModifiedBy>Elliott Kervin</cp:lastModifiedBy>
  <dcterms:created xsi:type="dcterms:W3CDTF">2026-03-07T20:03:58Z</dcterms:created>
  <dcterms:modified xsi:type="dcterms:W3CDTF">2026-03-09T14:39:52Z</dcterms:modified>
</cp:coreProperties>
</file>